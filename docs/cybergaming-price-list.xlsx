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icing rules" sheetId="3" state="visible" r:id="rId3"/>
  </sheets>
  <definedNames>
    <definedName name="_xlnm._FilterDatabase" localSheetId="0" hidden="1">'Price list'!$A$4:$O$128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%;-0%;&quot;&quot;"/>
    <numFmt numFmtId="166" formatCode="&quot;$&quot;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01A3F"/>
      <sz val="16"/>
    </font>
    <font>
      <i val="1"/>
      <color rgb="00475569"/>
    </font>
    <font>
      <color rgb="000A8AAD"/>
      <u val="single"/>
    </font>
    <font>
      <b val="1"/>
      <color rgb="00101A3F"/>
    </font>
    <font>
      <b val="1"/>
    </font>
    <font>
      <b val="1"/>
      <color rgb="00101A3F"/>
      <sz val="13"/>
    </font>
  </fonts>
  <fills count="4">
    <fill>
      <patternFill/>
    </fill>
    <fill>
      <patternFill patternType="gray125"/>
    </fill>
    <fill>
      <patternFill patternType="solid">
        <fgColor rgb="00101A3F"/>
      </patternFill>
    </fill>
    <fill>
      <patternFill patternType="solid">
        <fgColor rgb="00F1F5F9"/>
      </patternFill>
    </fill>
  </fills>
  <borders count="3">
    <border>
      <left/>
      <right/>
      <top/>
      <bottom/>
      <diagonal/>
    </border>
    <border>
      <bottom style="thin">
        <color rgb="00D9E1EC"/>
      </bottom>
    </border>
    <border>
      <top style="medium">
        <color rgb="00101A3F"/>
      </top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4" fillId="0" borderId="1" pivotButton="0" quotePrefix="0" xfId="0"/>
    <xf numFmtId="0" fontId="5" fillId="3" borderId="2" pivotButton="0" quotePrefix="0" xfId="0"/>
    <xf numFmtId="166" fontId="5" fillId="3" borderId="2" pivotButton="0" quotePrefix="0" xfId="0"/>
    <xf numFmtId="165" fontId="5" fillId="3" borderId="2" pivotButton="0" quotePrefix="0" xfId="0"/>
    <xf numFmtId="0" fontId="1" fillId="2" borderId="0" applyAlignment="1" pivotButton="0" quotePrefix="0" xfId="0">
      <alignment horizontal="center"/>
    </xf>
    <xf numFmtId="0" fontId="6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0" fontId="7" fillId="0" borderId="0" pivotButton="0" quotePrefix="0" xfId="0"/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bgColor rgb="00E6F7FC"/>
        </patternFill>
      </fill>
    </dxf>
    <dxf>
      <font>
        <b val="1"/>
        <color rgb="000F6E5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ybergaminglb.com/product/ace-combat-7-skies-unknown-ps4" TargetMode="External" Id="rId1"/><Relationship Type="http://schemas.openxmlformats.org/officeDocument/2006/relationships/hyperlink" Target="https://cybergaminglb.com/product/assassin-s-creed-iv-black-flag-ps4" TargetMode="External" Id="rId2"/><Relationship Type="http://schemas.openxmlformats.org/officeDocument/2006/relationships/hyperlink" Target="https://cybergaminglb.com/product/assassin-s-creed-odyssey-ps4" TargetMode="External" Id="rId3"/><Relationship Type="http://schemas.openxmlformats.org/officeDocument/2006/relationships/hyperlink" Target="https://cybergaminglb.com/product/assassin-s-creed-origins-ps4" TargetMode="External" Id="rId4"/><Relationship Type="http://schemas.openxmlformats.org/officeDocument/2006/relationships/hyperlink" Target="https://cybergaminglb.com/product/assassin-s-creed-syndicate-ps4" TargetMode="External" Id="rId5"/><Relationship Type="http://schemas.openxmlformats.org/officeDocument/2006/relationships/hyperlink" Target="https://cybergaminglb.com/product/assassin-s-creed-unity-ps4" TargetMode="External" Id="rId6"/><Relationship Type="http://schemas.openxmlformats.org/officeDocument/2006/relationships/hyperlink" Target="https://cybergaminglb.com/product/assassin-s-creed-the-ezio-collection-ps4" TargetMode="External" Id="rId7"/><Relationship Type="http://schemas.openxmlformats.org/officeDocument/2006/relationships/hyperlink" Target="https://cybergaminglb.com/product/back-to-the-future-30th-anniversary-ps4" TargetMode="External" Id="rId8"/><Relationship Type="http://schemas.openxmlformats.org/officeDocument/2006/relationships/hyperlink" Target="https://cybergaminglb.com/product/battlefield-1-ps4" TargetMode="External" Id="rId9"/><Relationship Type="http://schemas.openxmlformats.org/officeDocument/2006/relationships/hyperlink" Target="https://cybergaminglb.com/product/battlefield-hardline-ps4" TargetMode="External" Id="rId10"/><Relationship Type="http://schemas.openxmlformats.org/officeDocument/2006/relationships/hyperlink" Target="https://cybergaminglb.com/product/bioshock-the-collection-ps4" TargetMode="External" Id="rId11"/><Relationship Type="http://schemas.openxmlformats.org/officeDocument/2006/relationships/hyperlink" Target="https://cybergaminglb.com/product/bloodborne-ps4" TargetMode="External" Id="rId12"/><Relationship Type="http://schemas.openxmlformats.org/officeDocument/2006/relationships/hyperlink" Target="https://cybergaminglb.com/product/call-of-duty-black-ops-iii-ps4" TargetMode="External" Id="rId13"/><Relationship Type="http://schemas.openxmlformats.org/officeDocument/2006/relationships/hyperlink" Target="https://cybergaminglb.com/product/call-of-duty-modern-warfare-ii-ps4" TargetMode="External" Id="rId14"/><Relationship Type="http://schemas.openxmlformats.org/officeDocument/2006/relationships/hyperlink" Target="https://cybergaminglb.com/product/call-of-duty-wwii-ps4" TargetMode="External" Id="rId15"/><Relationship Type="http://schemas.openxmlformats.org/officeDocument/2006/relationships/hyperlink" Target="https://cybergaminglb.com/product/concrete-genie-ps4" TargetMode="External" Id="rId16"/><Relationship Type="http://schemas.openxmlformats.org/officeDocument/2006/relationships/hyperlink" Target="https://cybergaminglb.com/product/control-ps4" TargetMode="External" Id="rId17"/><Relationship Type="http://schemas.openxmlformats.org/officeDocument/2006/relationships/hyperlink" Target="https://cybergaminglb.com/product/dark-souls-ii-ps4" TargetMode="External" Id="rId18"/><Relationship Type="http://schemas.openxmlformats.org/officeDocument/2006/relationships/hyperlink" Target="https://cybergaminglb.com/product/dark-souls-remastered-ps4" TargetMode="External" Id="rId19"/><Relationship Type="http://schemas.openxmlformats.org/officeDocument/2006/relationships/hyperlink" Target="https://cybergaminglb.com/product/darksiders-ii-deathinitive-edition-ps4" TargetMode="External" Id="rId20"/><Relationship Type="http://schemas.openxmlformats.org/officeDocument/2006/relationships/hyperlink" Target="https://cybergaminglb.com/product/darksiders-iii-ps4" TargetMode="External" Id="rId21"/><Relationship Type="http://schemas.openxmlformats.org/officeDocument/2006/relationships/hyperlink" Target="https://cybergaminglb.com/product/days-gone-ps4" TargetMode="External" Id="rId22"/><Relationship Type="http://schemas.openxmlformats.org/officeDocument/2006/relationships/hyperlink" Target="https://cybergaminglb.com/product/dead-by-daylight-ps4" TargetMode="External" Id="rId23"/><Relationship Type="http://schemas.openxmlformats.org/officeDocument/2006/relationships/hyperlink" Target="https://cybergaminglb.com/product/death-stranding-ps4" TargetMode="External" Id="rId24"/><Relationship Type="http://schemas.openxmlformats.org/officeDocument/2006/relationships/hyperlink" Target="https://cybergaminglb.com/product/destiny-ps4" TargetMode="External" Id="rId25"/><Relationship Type="http://schemas.openxmlformats.org/officeDocument/2006/relationships/hyperlink" Target="https://cybergaminglb.com/product/detroit-become-human-ps4" TargetMode="External" Id="rId26"/><Relationship Type="http://schemas.openxmlformats.org/officeDocument/2006/relationships/hyperlink" Target="https://cybergaminglb.com/product/deus-ex-mankind-divided-ps4" TargetMode="External" Id="rId27"/><Relationship Type="http://schemas.openxmlformats.org/officeDocument/2006/relationships/hyperlink" Target="https://cybergaminglb.com/product/devil-may-cry-5-ps4" TargetMode="External" Id="rId28"/><Relationship Type="http://schemas.openxmlformats.org/officeDocument/2006/relationships/hyperlink" Target="https://cybergaminglb.com/product/dishonored-death-of-the-outsider-ps4" TargetMode="External" Id="rId29"/><Relationship Type="http://schemas.openxmlformats.org/officeDocument/2006/relationships/hyperlink" Target="https://cybergaminglb.com/product/doom-ps4" TargetMode="External" Id="rId30"/><Relationship Type="http://schemas.openxmlformats.org/officeDocument/2006/relationships/hyperlink" Target="https://cybergaminglb.com/product/dragon-s-dogma-dark-arisen-ps4" TargetMode="External" Id="rId31"/><Relationship Type="http://schemas.openxmlformats.org/officeDocument/2006/relationships/hyperlink" Target="https://cybergaminglb.com/product/dying-light-the-following-enhanced-edition-ps4" TargetMode="External" Id="rId32"/><Relationship Type="http://schemas.openxmlformats.org/officeDocument/2006/relationships/hyperlink" Target="https://cybergaminglb.com/product/ea-sports-fc-26-ps4" TargetMode="External" Id="rId33"/><Relationship Type="http://schemas.openxmlformats.org/officeDocument/2006/relationships/hyperlink" Target="https://cybergaminglb.com/product/far-cry-4-ps4" TargetMode="External" Id="rId34"/><Relationship Type="http://schemas.openxmlformats.org/officeDocument/2006/relationships/hyperlink" Target="https://cybergaminglb.com/product/far-cry-primal-ps4" TargetMode="External" Id="rId35"/><Relationship Type="http://schemas.openxmlformats.org/officeDocument/2006/relationships/hyperlink" Target="https://cybergaminglb.com/product/fifa-20-ps4" TargetMode="External" Id="rId36"/><Relationship Type="http://schemas.openxmlformats.org/officeDocument/2006/relationships/hyperlink" Target="https://cybergaminglb.com/product/fifa-22-ps4" TargetMode="External" Id="rId37"/><Relationship Type="http://schemas.openxmlformats.org/officeDocument/2006/relationships/hyperlink" Target="https://cybergaminglb.com/product/final-fantasy-xiv-stormblood-ps4" TargetMode="External" Id="rId38"/><Relationship Type="http://schemas.openxmlformats.org/officeDocument/2006/relationships/hyperlink" Target="https://cybergaminglb.com/product/ghost-of-tsushima-ps4" TargetMode="External" Id="rId39"/><Relationship Type="http://schemas.openxmlformats.org/officeDocument/2006/relationships/hyperlink" Target="https://cybergaminglb.com/product/god-of-war-ps4" TargetMode="External" Id="rId40"/><Relationship Type="http://schemas.openxmlformats.org/officeDocument/2006/relationships/hyperlink" Target="https://cybergaminglb.com/product/god-of-war-iii-remastered-ps4" TargetMode="External" Id="rId41"/><Relationship Type="http://schemas.openxmlformats.org/officeDocument/2006/relationships/hyperlink" Target="https://cybergaminglb.com/product/grand-theft-auto-the-trilogy-definitive-edition-ps4" TargetMode="External" Id="rId42"/><Relationship Type="http://schemas.openxmlformats.org/officeDocument/2006/relationships/hyperlink" Target="https://cybergaminglb.com/product/horizon-forbidden-west-ps4" TargetMode="External" Id="rId43"/><Relationship Type="http://schemas.openxmlformats.org/officeDocument/2006/relationships/hyperlink" Target="https://cybergaminglb.com/product/horizon-zero-dawn-ps4" TargetMode="External" Id="rId44"/><Relationship Type="http://schemas.openxmlformats.org/officeDocument/2006/relationships/hyperlink" Target="https://cybergaminglb.com/product/infamous-second-son-ps4" TargetMode="External" Id="rId45"/><Relationship Type="http://schemas.openxmlformats.org/officeDocument/2006/relationships/hyperlink" Target="https://cybergaminglb.com/product/inside-limbo-ps4" TargetMode="External" Id="rId46"/><Relationship Type="http://schemas.openxmlformats.org/officeDocument/2006/relationships/hyperlink" Target="https://cybergaminglb.com/product/it-takes-two-ps4" TargetMode="External" Id="rId47"/><Relationship Type="http://schemas.openxmlformats.org/officeDocument/2006/relationships/hyperlink" Target="https://cybergaminglb.com/product/just-dance-2017-ps4" TargetMode="External" Id="rId48"/><Relationship Type="http://schemas.openxmlformats.org/officeDocument/2006/relationships/hyperlink" Target="https://cybergaminglb.com/product/kingdom-hearts-iii-ps4" TargetMode="External" Id="rId49"/><Relationship Type="http://schemas.openxmlformats.org/officeDocument/2006/relationships/hyperlink" Target="https://cybergaminglb.com/product/knack-ps4" TargetMode="External" Id="rId50"/><Relationship Type="http://schemas.openxmlformats.org/officeDocument/2006/relationships/hyperlink" Target="https://cybergaminglb.com/product/lego-ninjago-movie-videogame-ps4" TargetMode="External" Id="rId51"/><Relationship Type="http://schemas.openxmlformats.org/officeDocument/2006/relationships/hyperlink" Target="https://cybergaminglb.com/product/lego-the-hobbit-ps4" TargetMode="External" Id="rId52"/><Relationship Type="http://schemas.openxmlformats.org/officeDocument/2006/relationships/hyperlink" Target="https://cybergaminglb.com/product/little-nightmares-complete-edition-ps4" TargetMode="External" Id="rId53"/><Relationship Type="http://schemas.openxmlformats.org/officeDocument/2006/relationships/hyperlink" Target="https://cybergaminglb.com/product/littlebigplanet-3-ps4" TargetMode="External" Id="rId54"/><Relationship Type="http://schemas.openxmlformats.org/officeDocument/2006/relationships/hyperlink" Target="https://cybergaminglb.com/product/mad-max-ps4" TargetMode="External" Id="rId55"/><Relationship Type="http://schemas.openxmlformats.org/officeDocument/2006/relationships/hyperlink" Target="https://cybergaminglb.com/product/mafia-iii-ps4" TargetMode="External" Id="rId56"/><Relationship Type="http://schemas.openxmlformats.org/officeDocument/2006/relationships/hyperlink" Target="https://cybergaminglb.com/product/mark-mcmorris-infinite-air-ps4" TargetMode="External" Id="rId57"/><Relationship Type="http://schemas.openxmlformats.org/officeDocument/2006/relationships/hyperlink" Target="https://cybergaminglb.com/product/marvel-s-avengers-ps4" TargetMode="External" Id="rId58"/><Relationship Type="http://schemas.openxmlformats.org/officeDocument/2006/relationships/hyperlink" Target="https://cybergaminglb.com/product/marvel-s-spider-man-ps4" TargetMode="External" Id="rId59"/><Relationship Type="http://schemas.openxmlformats.org/officeDocument/2006/relationships/hyperlink" Target="https://cybergaminglb.com/product/max-the-curse-of-brotherhood-ps4" TargetMode="External" Id="rId60"/><Relationship Type="http://schemas.openxmlformats.org/officeDocument/2006/relationships/hyperlink" Target="https://cybergaminglb.com/product/metal-gear-solid-v-the-definitive-experience-ps4" TargetMode="External" Id="rId61"/><Relationship Type="http://schemas.openxmlformats.org/officeDocument/2006/relationships/hyperlink" Target="https://cybergaminglb.com/product/metal-gear-survive-ps4" TargetMode="External" Id="rId62"/><Relationship Type="http://schemas.openxmlformats.org/officeDocument/2006/relationships/hyperlink" Target="https://cybergaminglb.com/product/middle-earth-shadow-of-war-ps4" TargetMode="External" Id="rId63"/><Relationship Type="http://schemas.openxmlformats.org/officeDocument/2006/relationships/hyperlink" Target="https://cybergaminglb.com/product/mirror-s-edge-catalyst-ps4" TargetMode="External" Id="rId64"/><Relationship Type="http://schemas.openxmlformats.org/officeDocument/2006/relationships/hyperlink" Target="https://cybergaminglb.com/product/monster-hunter-world-ps4" TargetMode="External" Id="rId65"/><Relationship Type="http://schemas.openxmlformats.org/officeDocument/2006/relationships/hyperlink" Target="https://cybergaminglb.com/product/mortal-kombat-xl-ps4" TargetMode="External" Id="rId66"/><Relationship Type="http://schemas.openxmlformats.org/officeDocument/2006/relationships/hyperlink" Target="https://cybergaminglb.com/product/need-for-speed-payback-ps4" TargetMode="External" Id="rId67"/><Relationship Type="http://schemas.openxmlformats.org/officeDocument/2006/relationships/hyperlink" Target="https://cybergaminglb.com/product/nier-automata-ps4" TargetMode="External" Id="rId68"/><Relationship Type="http://schemas.openxmlformats.org/officeDocument/2006/relationships/hyperlink" Target="https://cybergaminglb.com/product/nioh-ps4" TargetMode="External" Id="rId69"/><Relationship Type="http://schemas.openxmlformats.org/officeDocument/2006/relationships/hyperlink" Target="https://cybergaminglb.com/product/nioh-2-ps4" TargetMode="External" Id="rId70"/><Relationship Type="http://schemas.openxmlformats.org/officeDocument/2006/relationships/hyperlink" Target="https://cybergaminglb.com/product/prey-ps4" TargetMode="External" Id="rId71"/><Relationship Type="http://schemas.openxmlformats.org/officeDocument/2006/relationships/hyperlink" Target="https://cybergaminglb.com/product/project-cars-ps4" TargetMode="External" Id="rId72"/><Relationship Type="http://schemas.openxmlformats.org/officeDocument/2006/relationships/hyperlink" Target="https://cybergaminglb.com/product/rage-2-ps4" TargetMode="External" Id="rId73"/><Relationship Type="http://schemas.openxmlformats.org/officeDocument/2006/relationships/hyperlink" Target="https://cybergaminglb.com/product/ratchet-clank-ps4" TargetMode="External" Id="rId74"/><Relationship Type="http://schemas.openxmlformats.org/officeDocument/2006/relationships/hyperlink" Target="https://cybergaminglb.com/product/rayman-legends-ps4" TargetMode="External" Id="rId75"/><Relationship Type="http://schemas.openxmlformats.org/officeDocument/2006/relationships/hyperlink" Target="https://cybergaminglb.com/product/red-dead-redemption-ii-ps4" TargetMode="External" Id="rId76"/><Relationship Type="http://schemas.openxmlformats.org/officeDocument/2006/relationships/hyperlink" Target="https://cybergaminglb.com/product/resident-evil-2-ps4" TargetMode="External" Id="rId77"/><Relationship Type="http://schemas.openxmlformats.org/officeDocument/2006/relationships/hyperlink" Target="https://cybergaminglb.com/product/resident-evil-6-ps4" TargetMode="External" Id="rId78"/><Relationship Type="http://schemas.openxmlformats.org/officeDocument/2006/relationships/hyperlink" Target="https://cybergaminglb.com/product/resident-evil-origins-collection-ps4" TargetMode="External" Id="rId79"/><Relationship Type="http://schemas.openxmlformats.org/officeDocument/2006/relationships/hyperlink" Target="https://cybergaminglb.com/product/resident-evil-revelations-ps4" TargetMode="External" Id="rId80"/><Relationship Type="http://schemas.openxmlformats.org/officeDocument/2006/relationships/hyperlink" Target="https://cybergaminglb.com/product/resident-evil-revelations-2-ps4" TargetMode="External" Id="rId81"/><Relationship Type="http://schemas.openxmlformats.org/officeDocument/2006/relationships/hyperlink" Target="https://cybergaminglb.com/product/resident-evil-vii-biohazard-ps4" TargetMode="External" Id="rId82"/><Relationship Type="http://schemas.openxmlformats.org/officeDocument/2006/relationships/hyperlink" Target="https://cybergaminglb.com/product/resident-evil-village-ps4" TargetMode="External" Id="rId83"/><Relationship Type="http://schemas.openxmlformats.org/officeDocument/2006/relationships/hyperlink" Target="https://cybergaminglb.com/product/sniper-elite-4-ps4" TargetMode="External" Id="rId84"/><Relationship Type="http://schemas.openxmlformats.org/officeDocument/2006/relationships/hyperlink" Target="https://cybergaminglb.com/product/sniper-ghost-warrior-3-ps4" TargetMode="External" Id="rId85"/><Relationship Type="http://schemas.openxmlformats.org/officeDocument/2006/relationships/hyperlink" Target="https://cybergaminglb.com/product/star-wars-battlefront-ii-elite-trooper-deluxe-edition-ps4" TargetMode="External" Id="rId86"/><Relationship Type="http://schemas.openxmlformats.org/officeDocument/2006/relationships/hyperlink" Target="https://cybergaminglb.com/product/star-wars-jedi-fallen-order-ps4" TargetMode="External" Id="rId87"/><Relationship Type="http://schemas.openxmlformats.org/officeDocument/2006/relationships/hyperlink" Target="https://cybergaminglb.com/product/the-amazing-spider-man-2-ps4" TargetMode="External" Id="rId88"/><Relationship Type="http://schemas.openxmlformats.org/officeDocument/2006/relationships/hyperlink" Target="https://cybergaminglb.com/product/the-evil-within-2-ps4" TargetMode="External" Id="rId89"/><Relationship Type="http://schemas.openxmlformats.org/officeDocument/2006/relationships/hyperlink" Target="https://cybergaminglb.com/product/the-last-guardian-ps4" TargetMode="External" Id="rId90"/><Relationship Type="http://schemas.openxmlformats.org/officeDocument/2006/relationships/hyperlink" Target="https://cybergaminglb.com/product/the-last-of-us-remastered-ps4" TargetMode="External" Id="rId91"/><Relationship Type="http://schemas.openxmlformats.org/officeDocument/2006/relationships/hyperlink" Target="https://cybergaminglb.com/product/the-sinking-city-ps4" TargetMode="External" Id="rId92"/><Relationship Type="http://schemas.openxmlformats.org/officeDocument/2006/relationships/hyperlink" Target="https://cybergaminglb.com/product/the-witcher-3-wild-hunt-ps4" TargetMode="External" Id="rId93"/><Relationship Type="http://schemas.openxmlformats.org/officeDocument/2006/relationships/hyperlink" Target="https://cybergaminglb.com/product/titanfall-2-ps4" TargetMode="External" Id="rId94"/><Relationship Type="http://schemas.openxmlformats.org/officeDocument/2006/relationships/hyperlink" Target="https://cybergaminglb.com/product/tom-clancy-s-ghost-recon-breakpoint-ps4" TargetMode="External" Id="rId95"/><Relationship Type="http://schemas.openxmlformats.org/officeDocument/2006/relationships/hyperlink" Target="https://cybergaminglb.com/product/uncharted-4-a-thief-s-end-ps4" TargetMode="External" Id="rId96"/><Relationship Type="http://schemas.openxmlformats.org/officeDocument/2006/relationships/hyperlink" Target="https://cybergaminglb.com/product/uncharted-the-lost-legacy-ps4" TargetMode="External" Id="rId97"/><Relationship Type="http://schemas.openxmlformats.org/officeDocument/2006/relationships/hyperlink" Target="https://cybergaminglb.com/product/uncharted-the-nathan-drake-collection-ps4" TargetMode="External" Id="rId98"/><Relationship Type="http://schemas.openxmlformats.org/officeDocument/2006/relationships/hyperlink" Target="https://cybergaminglb.com/product/until-dawn-ps4" TargetMode="External" Id="rId99"/><Relationship Type="http://schemas.openxmlformats.org/officeDocument/2006/relationships/hyperlink" Target="https://cybergaminglb.com/product/vampyr-ps4" TargetMode="External" Id="rId100"/><Relationship Type="http://schemas.openxmlformats.org/officeDocument/2006/relationships/hyperlink" Target="https://cybergaminglb.com/product/watch-dogs-2-ps4" TargetMode="External" Id="rId101"/><Relationship Type="http://schemas.openxmlformats.org/officeDocument/2006/relationships/hyperlink" Target="https://cybergaminglb.com/product/watch-dogs-legion-ps4" TargetMode="External" Id="rId102"/><Relationship Type="http://schemas.openxmlformats.org/officeDocument/2006/relationships/hyperlink" Target="https://cybergaminglb.com/product/wolfenstein-ii-the-new-colossus-ps4" TargetMode="External" Id="rId103"/><Relationship Type="http://schemas.openxmlformats.org/officeDocument/2006/relationships/hyperlink" Target="https://cybergaminglb.com/product/wwe-2k16-ps4" TargetMode="External" Id="rId104"/><Relationship Type="http://schemas.openxmlformats.org/officeDocument/2006/relationships/hyperlink" Target="https://cybergaminglb.com/product/xcom-2-ps4" TargetMode="External" Id="rId105"/><Relationship Type="http://schemas.openxmlformats.org/officeDocument/2006/relationships/hyperlink" Target="https://cybergaminglb.com/product/yooka-laylee-and-the-impossible-lair-ps4" TargetMode="External" Id="rId106"/><Relationship Type="http://schemas.openxmlformats.org/officeDocument/2006/relationships/hyperlink" Target="https://cybergaminglb.com/product/borderlands-3-super-deluxe-edition-steelbook-edition-ps4" TargetMode="External" Id="rId107"/><Relationship Type="http://schemas.openxmlformats.org/officeDocument/2006/relationships/hyperlink" Target="https://cybergaminglb.com/product/call-of-duty-black-ops-iii-steelbook-edition-ps4" TargetMode="External" Id="rId108"/><Relationship Type="http://schemas.openxmlformats.org/officeDocument/2006/relationships/hyperlink" Target="https://cybergaminglb.com/product/call-of-duty-ghosts-steelbook-edition-ps4" TargetMode="External" Id="rId109"/><Relationship Type="http://schemas.openxmlformats.org/officeDocument/2006/relationships/hyperlink" Target="https://cybergaminglb.com/product/cyberpunk-2077-steelbook-edition-ps4" TargetMode="External" Id="rId110"/><Relationship Type="http://schemas.openxmlformats.org/officeDocument/2006/relationships/hyperlink" Target="https://cybergaminglb.com/product/dark-souls-iii-steelbook-edition-ps4" TargetMode="External" Id="rId111"/><Relationship Type="http://schemas.openxmlformats.org/officeDocument/2006/relationships/hyperlink" Target="https://cybergaminglb.com/product/death-stranding-steelbook-edition-ps4" TargetMode="External" Id="rId112"/><Relationship Type="http://schemas.openxmlformats.org/officeDocument/2006/relationships/hyperlink" Target="https://cybergaminglb.com/product/dissidia-final-fantasy-nt-steelbook-edition-ps4" TargetMode="External" Id="rId113"/><Relationship Type="http://schemas.openxmlformats.org/officeDocument/2006/relationships/hyperlink" Target="https://cybergaminglb.com/product/fallout-4-steelbook-edition-ps4" TargetMode="External" Id="rId114"/><Relationship Type="http://schemas.openxmlformats.org/officeDocument/2006/relationships/hyperlink" Target="https://cybergaminglb.com/product/fallout-76-steelbook-edition-ps4" TargetMode="External" Id="rId115"/><Relationship Type="http://schemas.openxmlformats.org/officeDocument/2006/relationships/hyperlink" Target="https://cybergaminglb.com/product/final-fantasy-xv-deluxe-edition-steelbook-edition-ps4" TargetMode="External" Id="rId116"/><Relationship Type="http://schemas.openxmlformats.org/officeDocument/2006/relationships/hyperlink" Target="https://cybergaminglb.com/product/hitman-the-complete-first-season-steelbook-edition-ps4" TargetMode="External" Id="rId117"/><Relationship Type="http://schemas.openxmlformats.org/officeDocument/2006/relationships/hyperlink" Target="https://cybergaminglb.com/product/mlb-the-show-20-steelbook-edition-ps4" TargetMode="External" Id="rId118"/><Relationship Type="http://schemas.openxmlformats.org/officeDocument/2006/relationships/hyperlink" Target="https://cybergaminglb.com/product/monster-hunter-world-iceborne-steelbook-edition-ps4" TargetMode="External" Id="rId119"/><Relationship Type="http://schemas.openxmlformats.org/officeDocument/2006/relationships/hyperlink" Target="https://cybergaminglb.com/product/red-dead-redemption-ii-steelbook-edition-ps4" TargetMode="External" Id="rId120"/><Relationship Type="http://schemas.openxmlformats.org/officeDocument/2006/relationships/hyperlink" Target="https://cybergaminglb.com/product/rise-of-the-tomb-raider-20-year-celebration-steelbook-edition-ps4" TargetMode="External" Id="rId121"/><Relationship Type="http://schemas.openxmlformats.org/officeDocument/2006/relationships/hyperlink" Target="https://cybergaminglb.com/product/the-last-of-us-part-ii-steelbook-edition-ps4" TargetMode="External" Id="rId122"/><Relationship Type="http://schemas.openxmlformats.org/officeDocument/2006/relationships/hyperlink" Target="https://cybergaminglb.com/product/watch-dogs-steelbook-edition-ps4" TargetMode="External" Id="rId123"/><Relationship Type="http://schemas.openxmlformats.org/officeDocument/2006/relationships/hyperlink" Target="https://cybergaminglb.com/product/watch-dogs-2-steelbook-edition-ps4" TargetMode="External" Id="rId1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11" customWidth="1" min="4" max="4"/>
    <col width="15" customWidth="1" min="5" max="5"/>
    <col width="7" customWidth="1" min="6" max="6"/>
    <col width="30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8" customWidth="1" min="13" max="13"/>
    <col width="46" customWidth="1" min="14" max="14"/>
    <col width="8" customWidth="1" min="15" max="15"/>
  </cols>
  <sheetData>
    <row r="1">
      <c r="A1" s="1" t="inlineStr">
        <is>
          <t>CyberGaming Lebanon: price list</t>
        </is>
      </c>
    </row>
    <row r="2">
      <c r="A2" s="2" t="inlineStr">
        <is>
          <t>All games on cybergaminglb.com, prices in USD. Generated 19 Sep 2026. Edit the New price column and the totals update.</t>
        </is>
      </c>
    </row>
    <row r="4" ht="30" customHeight="1">
      <c r="A4" s="3" t="inlineStr">
        <is>
          <t>#</t>
        </is>
      </c>
      <c r="B4" s="3" t="inlineStr">
        <is>
          <t>Title</t>
        </is>
      </c>
      <c r="C4" s="3" t="inlineStr">
        <is>
          <t>Platform</t>
        </is>
      </c>
      <c r="D4" s="3" t="inlineStr">
        <is>
          <t>Edition</t>
        </is>
      </c>
      <c r="E4" s="3" t="inlineStr">
        <is>
          <t>Condition</t>
        </is>
      </c>
      <c r="F4" s="3" t="inlineStr">
        <is>
          <t>Year</t>
        </is>
      </c>
      <c r="G4" s="3" t="inlineStr">
        <is>
          <t>Genres</t>
        </is>
      </c>
      <c r="H4" s="3" t="inlineStr">
        <is>
          <t>Previous price</t>
        </is>
      </c>
      <c r="I4" s="3" t="inlineStr">
        <is>
          <t>New price</t>
        </is>
      </c>
      <c r="J4" s="3" t="inlineStr">
        <is>
          <t>Change ($)</t>
        </is>
      </c>
      <c r="K4" s="3" t="inlineStr">
        <is>
          <t>Change (%)</t>
        </is>
      </c>
      <c r="L4" s="3" t="inlineStr">
        <is>
          <t>Status</t>
        </is>
      </c>
      <c r="M4" s="3" t="inlineStr">
        <is>
          <t>Stock</t>
        </is>
      </c>
      <c r="N4" s="3" t="inlineStr">
        <is>
          <t>Reason</t>
        </is>
      </c>
      <c r="O4" s="3" t="inlineStr">
        <is>
          <t>Link</t>
        </is>
      </c>
    </row>
    <row r="5">
      <c r="A5" s="4" t="n">
        <v>1</v>
      </c>
      <c r="B5" s="5" t="inlineStr">
        <is>
          <t>Ace Combat 7: Skies Unknown</t>
        </is>
      </c>
      <c r="C5" s="5" t="inlineStr">
        <is>
          <t>PlayStation 4</t>
        </is>
      </c>
      <c r="D5" s="5" t="inlineStr">
        <is>
          <t>Standard</t>
        </is>
      </c>
      <c r="E5" s="5" t="inlineStr">
        <is>
          <t>Used, Good</t>
        </is>
      </c>
      <c r="F5" s="6" t="n">
        <v>2019</v>
      </c>
      <c r="G5" s="5" t="inlineStr">
        <is>
          <t>Simulation</t>
        </is>
      </c>
      <c r="H5" s="7" t="n">
        <v>12</v>
      </c>
      <c r="I5" s="8" t="n">
        <v>12</v>
      </c>
      <c r="J5" s="7">
        <f>I5-H5</f>
        <v/>
      </c>
      <c r="K5" s="9">
        <f>IF(H5=0,0,J5/H5)</f>
        <v/>
      </c>
      <c r="L5" s="5" t="inlineStr">
        <is>
          <t>Active</t>
        </is>
      </c>
      <c r="M5" s="6" t="n">
        <v>1</v>
      </c>
      <c r="N5" s="5" t="inlineStr">
        <is>
          <t>Unchanged: already at or above market floor</t>
        </is>
      </c>
      <c r="O5" s="10" t="inlineStr">
        <is>
          <t>Open</t>
        </is>
      </c>
    </row>
    <row r="6">
      <c r="A6" s="4" t="n">
        <v>2</v>
      </c>
      <c r="B6" s="5" t="inlineStr">
        <is>
          <t>Assassin's Creed IV: Black Flag</t>
        </is>
      </c>
      <c r="C6" s="5" t="inlineStr">
        <is>
          <t>PlayStation 4</t>
        </is>
      </c>
      <c r="D6" s="5" t="inlineStr">
        <is>
          <t>Standard</t>
        </is>
      </c>
      <c r="E6" s="5" t="inlineStr">
        <is>
          <t>Used, Good</t>
        </is>
      </c>
      <c r="F6" s="6" t="n">
        <v>2013</v>
      </c>
      <c r="G6" s="5" t="inlineStr">
        <is>
          <t>Action, Open World</t>
        </is>
      </c>
      <c r="H6" s="7" t="n">
        <v>10</v>
      </c>
      <c r="I6" s="8" t="n">
        <v>12</v>
      </c>
      <c r="J6" s="7">
        <f>I6-H6</f>
        <v/>
      </c>
      <c r="K6" s="9">
        <f>IF(H6=0,0,J6/H6)</f>
        <v/>
      </c>
      <c r="L6" s="5" t="inlineStr">
        <is>
          <t>Active</t>
        </is>
      </c>
      <c r="M6" s="6" t="n">
        <v>1</v>
      </c>
      <c r="N6" s="5" t="inlineStr">
        <is>
          <t>Raised to the $12 floor for ordinary titles</t>
        </is>
      </c>
      <c r="O6" s="10" t="inlineStr">
        <is>
          <t>Open</t>
        </is>
      </c>
    </row>
    <row r="7">
      <c r="A7" s="4" t="n">
        <v>3</v>
      </c>
      <c r="B7" s="5" t="inlineStr">
        <is>
          <t>Assassin's Creed Odyssey</t>
        </is>
      </c>
      <c r="C7" s="5" t="inlineStr">
        <is>
          <t>PlayStation 4</t>
        </is>
      </c>
      <c r="D7" s="5" t="inlineStr">
        <is>
          <t>Standard</t>
        </is>
      </c>
      <c r="E7" s="5" t="inlineStr">
        <is>
          <t>Used, Good</t>
        </is>
      </c>
      <c r="F7" s="6" t="n">
        <v>2018</v>
      </c>
      <c r="G7" s="5" t="inlineStr">
        <is>
          <t>Action, RPG, Open World</t>
        </is>
      </c>
      <c r="H7" s="7" t="n">
        <v>12</v>
      </c>
      <c r="I7" s="8" t="n">
        <v>15</v>
      </c>
      <c r="J7" s="7">
        <f>I7-H7</f>
        <v/>
      </c>
      <c r="K7" s="9">
        <f>IF(H7=0,0,J7/H7)</f>
        <v/>
      </c>
      <c r="L7" s="5" t="inlineStr">
        <is>
          <t>Active</t>
        </is>
      </c>
      <c r="M7" s="6" t="n">
        <v>1</v>
      </c>
      <c r="N7" s="5" t="inlineStr">
        <is>
          <t>Popular title: raised to market range</t>
        </is>
      </c>
      <c r="O7" s="10" t="inlineStr">
        <is>
          <t>Open</t>
        </is>
      </c>
    </row>
    <row r="8">
      <c r="A8" s="4" t="n">
        <v>4</v>
      </c>
      <c r="B8" s="5" t="inlineStr">
        <is>
          <t>Assassin's Creed Origins</t>
        </is>
      </c>
      <c r="C8" s="5" t="inlineStr">
        <is>
          <t>PlayStation 4</t>
        </is>
      </c>
      <c r="D8" s="5" t="inlineStr">
        <is>
          <t>Standard</t>
        </is>
      </c>
      <c r="E8" s="5" t="inlineStr">
        <is>
          <t>Used, Good</t>
        </is>
      </c>
      <c r="F8" s="6" t="n">
        <v>2017</v>
      </c>
      <c r="G8" s="5" t="inlineStr">
        <is>
          <t>Action, RPG, Open World</t>
        </is>
      </c>
      <c r="H8" s="7" t="n">
        <v>12</v>
      </c>
      <c r="I8" s="8" t="n">
        <v>15</v>
      </c>
      <c r="J8" s="7">
        <f>I8-H8</f>
        <v/>
      </c>
      <c r="K8" s="9">
        <f>IF(H8=0,0,J8/H8)</f>
        <v/>
      </c>
      <c r="L8" s="5" t="inlineStr">
        <is>
          <t>Active</t>
        </is>
      </c>
      <c r="M8" s="6" t="n">
        <v>1</v>
      </c>
      <c r="N8" s="5" t="inlineStr">
        <is>
          <t>Popular title: raised to market range</t>
        </is>
      </c>
      <c r="O8" s="10" t="inlineStr">
        <is>
          <t>Open</t>
        </is>
      </c>
    </row>
    <row r="9">
      <c r="A9" s="4" t="n">
        <v>5</v>
      </c>
      <c r="B9" s="5" t="inlineStr">
        <is>
          <t>Assassin's Creed Syndicate</t>
        </is>
      </c>
      <c r="C9" s="5" t="inlineStr">
        <is>
          <t>PlayStation 4</t>
        </is>
      </c>
      <c r="D9" s="5" t="inlineStr">
        <is>
          <t>Standard</t>
        </is>
      </c>
      <c r="E9" s="5" t="inlineStr">
        <is>
          <t>Used, Good</t>
        </is>
      </c>
      <c r="F9" s="6" t="n">
        <v>2015</v>
      </c>
      <c r="G9" s="5" t="inlineStr">
        <is>
          <t>Action, Open World</t>
        </is>
      </c>
      <c r="H9" s="7" t="n">
        <v>10</v>
      </c>
      <c r="I9" s="8" t="n">
        <v>12</v>
      </c>
      <c r="J9" s="7">
        <f>I9-H9</f>
        <v/>
      </c>
      <c r="K9" s="9">
        <f>IF(H9=0,0,J9/H9)</f>
        <v/>
      </c>
      <c r="L9" s="5" t="inlineStr">
        <is>
          <t>Active</t>
        </is>
      </c>
      <c r="M9" s="6" t="n">
        <v>1</v>
      </c>
      <c r="N9" s="5" t="inlineStr">
        <is>
          <t>Raised to the $12 floor for ordinary titles</t>
        </is>
      </c>
      <c r="O9" s="10" t="inlineStr">
        <is>
          <t>Open</t>
        </is>
      </c>
    </row>
    <row r="10">
      <c r="A10" s="4" t="n">
        <v>6</v>
      </c>
      <c r="B10" s="5" t="inlineStr">
        <is>
          <t>Assassin's Creed Unity</t>
        </is>
      </c>
      <c r="C10" s="5" t="inlineStr">
        <is>
          <t>PlayStation 4</t>
        </is>
      </c>
      <c r="D10" s="5" t="inlineStr">
        <is>
          <t>Standard</t>
        </is>
      </c>
      <c r="E10" s="5" t="inlineStr">
        <is>
          <t>Used, Good</t>
        </is>
      </c>
      <c r="F10" s="6" t="n">
        <v>2014</v>
      </c>
      <c r="G10" s="5" t="inlineStr">
        <is>
          <t>Action, Open World</t>
        </is>
      </c>
      <c r="H10" s="7" t="n">
        <v>8</v>
      </c>
      <c r="I10" s="8" t="n">
        <v>10</v>
      </c>
      <c r="J10" s="7">
        <f>I10-H10</f>
        <v/>
      </c>
      <c r="K10" s="9">
        <f>IF(H10=0,0,J10/H10)</f>
        <v/>
      </c>
      <c r="L10" s="5" t="inlineStr">
        <is>
          <t>Active</t>
        </is>
      </c>
      <c r="M10" s="6" t="n">
        <v>1</v>
      </c>
      <c r="N10" s="5" t="inlineStr">
        <is>
          <t>Older/annual/low-demand: small lift</t>
        </is>
      </c>
      <c r="O10" s="10" t="inlineStr">
        <is>
          <t>Open</t>
        </is>
      </c>
    </row>
    <row r="11">
      <c r="A11" s="4" t="n">
        <v>7</v>
      </c>
      <c r="B11" s="5" t="inlineStr">
        <is>
          <t>Assassin's Creed: The Ezio Collection</t>
        </is>
      </c>
      <c r="C11" s="5" t="inlineStr">
        <is>
          <t>PlayStation 4</t>
        </is>
      </c>
      <c r="D11" s="5" t="inlineStr">
        <is>
          <t>Standard</t>
        </is>
      </c>
      <c r="E11" s="5" t="inlineStr">
        <is>
          <t>Used, Good</t>
        </is>
      </c>
      <c r="F11" s="6" t="n">
        <v>2016</v>
      </c>
      <c r="G11" s="5" t="inlineStr">
        <is>
          <t>Action, Open World</t>
        </is>
      </c>
      <c r="H11" s="7" t="n">
        <v>12</v>
      </c>
      <c r="I11" s="8" t="n">
        <v>12</v>
      </c>
      <c r="J11" s="7">
        <f>I11-H11</f>
        <v/>
      </c>
      <c r="K11" s="9">
        <f>IF(H11=0,0,J11/H11)</f>
        <v/>
      </c>
      <c r="L11" s="5" t="inlineStr">
        <is>
          <t>Active</t>
        </is>
      </c>
      <c r="M11" s="6" t="n">
        <v>1</v>
      </c>
      <c r="N11" s="5" t="inlineStr">
        <is>
          <t>Unchanged: already at or above market floor</t>
        </is>
      </c>
      <c r="O11" s="10" t="inlineStr">
        <is>
          <t>Open</t>
        </is>
      </c>
    </row>
    <row r="12">
      <c r="A12" s="4" t="n">
        <v>8</v>
      </c>
      <c r="B12" s="5" t="inlineStr">
        <is>
          <t>Back to the Future: 30th Anniversary</t>
        </is>
      </c>
      <c r="C12" s="5" t="inlineStr">
        <is>
          <t>PlayStation 4</t>
        </is>
      </c>
      <c r="D12" s="5" t="inlineStr">
        <is>
          <t>Standard</t>
        </is>
      </c>
      <c r="E12" s="5" t="inlineStr">
        <is>
          <t>Used, Good</t>
        </is>
      </c>
      <c r="F12" s="6" t="n">
        <v>2015</v>
      </c>
      <c r="G12" s="5" t="inlineStr">
        <is>
          <t>Adventure</t>
        </is>
      </c>
      <c r="H12" s="7" t="n">
        <v>10</v>
      </c>
      <c r="I12" s="8" t="n">
        <v>12</v>
      </c>
      <c r="J12" s="7">
        <f>I12-H12</f>
        <v/>
      </c>
      <c r="K12" s="9">
        <f>IF(H12=0,0,J12/H12)</f>
        <v/>
      </c>
      <c r="L12" s="5" t="inlineStr">
        <is>
          <t>Active</t>
        </is>
      </c>
      <c r="M12" s="6" t="n">
        <v>1</v>
      </c>
      <c r="N12" s="5" t="inlineStr">
        <is>
          <t>Raised to the $12 floor for ordinary titles</t>
        </is>
      </c>
      <c r="O12" s="10" t="inlineStr">
        <is>
          <t>Open</t>
        </is>
      </c>
    </row>
    <row r="13">
      <c r="A13" s="4" t="n">
        <v>9</v>
      </c>
      <c r="B13" s="5" t="inlineStr">
        <is>
          <t>Battlefield 1</t>
        </is>
      </c>
      <c r="C13" s="5" t="inlineStr">
        <is>
          <t>PlayStation 4</t>
        </is>
      </c>
      <c r="D13" s="5" t="inlineStr">
        <is>
          <t>Standard</t>
        </is>
      </c>
      <c r="E13" s="5" t="inlineStr">
        <is>
          <t>Used, Good</t>
        </is>
      </c>
      <c r="F13" s="6" t="n">
        <v>2016</v>
      </c>
      <c r="G13" s="5" t="inlineStr">
        <is>
          <t>Shooter</t>
        </is>
      </c>
      <c r="H13" s="7" t="n">
        <v>5</v>
      </c>
      <c r="I13" s="8" t="n">
        <v>10</v>
      </c>
      <c r="J13" s="7">
        <f>I13-H13</f>
        <v/>
      </c>
      <c r="K13" s="9">
        <f>IF(H13=0,0,J13/H13)</f>
        <v/>
      </c>
      <c r="L13" s="5" t="inlineStr">
        <is>
          <t>Active</t>
        </is>
      </c>
      <c r="M13" s="6" t="n">
        <v>1</v>
      </c>
      <c r="N13" s="5" t="inlineStr">
        <is>
          <t>Older/annual/low-demand: small lift</t>
        </is>
      </c>
      <c r="O13" s="10" t="inlineStr">
        <is>
          <t>Open</t>
        </is>
      </c>
    </row>
    <row r="14">
      <c r="A14" s="4" t="n">
        <v>10</v>
      </c>
      <c r="B14" s="5" t="inlineStr">
        <is>
          <t>Battlefield Hardline</t>
        </is>
      </c>
      <c r="C14" s="5" t="inlineStr">
        <is>
          <t>PlayStation 4</t>
        </is>
      </c>
      <c r="D14" s="5" t="inlineStr">
        <is>
          <t>Standard</t>
        </is>
      </c>
      <c r="E14" s="5" t="inlineStr">
        <is>
          <t>Used, Good</t>
        </is>
      </c>
      <c r="F14" s="6" t="n">
        <v>2015</v>
      </c>
      <c r="G14" s="5" t="inlineStr">
        <is>
          <t>Shooter</t>
        </is>
      </c>
      <c r="H14" s="7" t="n">
        <v>5</v>
      </c>
      <c r="I14" s="8" t="n">
        <v>8</v>
      </c>
      <c r="J14" s="7">
        <f>I14-H14</f>
        <v/>
      </c>
      <c r="K14" s="9">
        <f>IF(H14=0,0,J14/H14)</f>
        <v/>
      </c>
      <c r="L14" s="5" t="inlineStr">
        <is>
          <t>Active</t>
        </is>
      </c>
      <c r="M14" s="6" t="n">
        <v>1</v>
      </c>
      <c r="N14" s="5" t="inlineStr">
        <is>
          <t>Older/annual/low-demand: small lift</t>
        </is>
      </c>
      <c r="O14" s="10" t="inlineStr">
        <is>
          <t>Open</t>
        </is>
      </c>
    </row>
    <row r="15">
      <c r="A15" s="4" t="n">
        <v>11</v>
      </c>
      <c r="B15" s="5" t="inlineStr">
        <is>
          <t>BioShock: The Collection</t>
        </is>
      </c>
      <c r="C15" s="5" t="inlineStr">
        <is>
          <t>PlayStation 4</t>
        </is>
      </c>
      <c r="D15" s="5" t="inlineStr">
        <is>
          <t>Standard</t>
        </is>
      </c>
      <c r="E15" s="5" t="inlineStr">
        <is>
          <t>Used, Good</t>
        </is>
      </c>
      <c r="F15" s="6" t="n">
        <v>2016</v>
      </c>
      <c r="G15" s="5" t="inlineStr">
        <is>
          <t>Shooter, RPG</t>
        </is>
      </c>
      <c r="H15" s="7" t="n">
        <v>12</v>
      </c>
      <c r="I15" s="8" t="n">
        <v>12</v>
      </c>
      <c r="J15" s="7">
        <f>I15-H15</f>
        <v/>
      </c>
      <c r="K15" s="9">
        <f>IF(H15=0,0,J15/H15)</f>
        <v/>
      </c>
      <c r="L15" s="5" t="inlineStr">
        <is>
          <t>Active</t>
        </is>
      </c>
      <c r="M15" s="6" t="n">
        <v>1</v>
      </c>
      <c r="N15" s="5" t="inlineStr">
        <is>
          <t>Unchanged: already at or above market floor</t>
        </is>
      </c>
      <c r="O15" s="10" t="inlineStr">
        <is>
          <t>Open</t>
        </is>
      </c>
    </row>
    <row r="16">
      <c r="A16" s="4" t="n">
        <v>12</v>
      </c>
      <c r="B16" s="5" t="inlineStr">
        <is>
          <t>Bloodborne</t>
        </is>
      </c>
      <c r="C16" s="5" t="inlineStr">
        <is>
          <t>PlayStation 4</t>
        </is>
      </c>
      <c r="D16" s="5" t="inlineStr">
        <is>
          <t>Standard</t>
        </is>
      </c>
      <c r="E16" s="5" t="inlineStr">
        <is>
          <t>Used, Good</t>
        </is>
      </c>
      <c r="F16" s="6" t="n">
        <v>2015</v>
      </c>
      <c r="G16" s="5" t="inlineStr">
        <is>
          <t>Action, RPG</t>
        </is>
      </c>
      <c r="H16" s="7" t="n">
        <v>18</v>
      </c>
      <c r="I16" s="8" t="n">
        <v>20</v>
      </c>
      <c r="J16" s="7">
        <f>I16-H16</f>
        <v/>
      </c>
      <c r="K16" s="9">
        <f>IF(H16=0,0,J16/H16)</f>
        <v/>
      </c>
      <c r="L16" s="5" t="inlineStr">
        <is>
          <t>Active</t>
        </is>
      </c>
      <c r="M16" s="6" t="n">
        <v>1</v>
      </c>
      <c r="N16" s="5" t="inlineStr">
        <is>
          <t>Popular title: raised to market range</t>
        </is>
      </c>
      <c r="O16" s="10" t="inlineStr">
        <is>
          <t>Open</t>
        </is>
      </c>
    </row>
    <row r="17">
      <c r="A17" s="4" t="n">
        <v>13</v>
      </c>
      <c r="B17" s="5" t="inlineStr">
        <is>
          <t>Call of Duty: Black Ops III</t>
        </is>
      </c>
      <c r="C17" s="5" t="inlineStr">
        <is>
          <t>PlayStation 4</t>
        </is>
      </c>
      <c r="D17" s="5" t="inlineStr">
        <is>
          <t>Standard</t>
        </is>
      </c>
      <c r="E17" s="5" t="inlineStr">
        <is>
          <t>Used, Good</t>
        </is>
      </c>
      <c r="F17" s="6" t="n">
        <v>2015</v>
      </c>
      <c r="G17" s="5" t="inlineStr">
        <is>
          <t>Shooter</t>
        </is>
      </c>
      <c r="H17" s="7" t="n">
        <v>8</v>
      </c>
      <c r="I17" s="8" t="n">
        <v>10</v>
      </c>
      <c r="J17" s="7">
        <f>I17-H17</f>
        <v/>
      </c>
      <c r="K17" s="9">
        <f>IF(H17=0,0,J17/H17)</f>
        <v/>
      </c>
      <c r="L17" s="5" t="inlineStr">
        <is>
          <t>Active</t>
        </is>
      </c>
      <c r="M17" s="6" t="n">
        <v>1</v>
      </c>
      <c r="N17" s="5" t="inlineStr">
        <is>
          <t>Older/annual/low-demand: small lift</t>
        </is>
      </c>
      <c r="O17" s="10" t="inlineStr">
        <is>
          <t>Open</t>
        </is>
      </c>
    </row>
    <row r="18">
      <c r="A18" s="4" t="n">
        <v>14</v>
      </c>
      <c r="B18" s="5" t="inlineStr">
        <is>
          <t>Call of Duty: Modern Warfare II</t>
        </is>
      </c>
      <c r="C18" s="5" t="inlineStr">
        <is>
          <t>PlayStation 4</t>
        </is>
      </c>
      <c r="D18" s="5" t="inlineStr">
        <is>
          <t>Standard</t>
        </is>
      </c>
      <c r="E18" s="5" t="inlineStr">
        <is>
          <t>Used, Good</t>
        </is>
      </c>
      <c r="F18" s="6" t="n">
        <v>2022</v>
      </c>
      <c r="G18" s="5" t="inlineStr">
        <is>
          <t>Shooter</t>
        </is>
      </c>
      <c r="H18" s="7" t="n">
        <v>15</v>
      </c>
      <c r="I18" s="8" t="n">
        <v>15</v>
      </c>
      <c r="J18" s="7">
        <f>I18-H18</f>
        <v/>
      </c>
      <c r="K18" s="9">
        <f>IF(H18=0,0,J18/H18)</f>
        <v/>
      </c>
      <c r="L18" s="5" t="inlineStr">
        <is>
          <t>Active</t>
        </is>
      </c>
      <c r="M18" s="6" t="n">
        <v>1</v>
      </c>
      <c r="N18" s="5" t="inlineStr">
        <is>
          <t>Unchanged: already at or above market floor</t>
        </is>
      </c>
      <c r="O18" s="10" t="inlineStr">
        <is>
          <t>Open</t>
        </is>
      </c>
    </row>
    <row r="19">
      <c r="A19" s="4" t="n">
        <v>15</v>
      </c>
      <c r="B19" s="5" t="inlineStr">
        <is>
          <t>Call of Duty: WWII</t>
        </is>
      </c>
      <c r="C19" s="5" t="inlineStr">
        <is>
          <t>PlayStation 4</t>
        </is>
      </c>
      <c r="D19" s="5" t="inlineStr">
        <is>
          <t>Standard</t>
        </is>
      </c>
      <c r="E19" s="5" t="inlineStr">
        <is>
          <t>Used, Good</t>
        </is>
      </c>
      <c r="F19" s="6" t="n">
        <v>2017</v>
      </c>
      <c r="G19" s="5" t="inlineStr">
        <is>
          <t>Shooter</t>
        </is>
      </c>
      <c r="H19" s="7" t="n">
        <v>8</v>
      </c>
      <c r="I19" s="8" t="n">
        <v>10</v>
      </c>
      <c r="J19" s="7">
        <f>I19-H19</f>
        <v/>
      </c>
      <c r="K19" s="9">
        <f>IF(H19=0,0,J19/H19)</f>
        <v/>
      </c>
      <c r="L19" s="5" t="inlineStr">
        <is>
          <t>Active</t>
        </is>
      </c>
      <c r="M19" s="6" t="n">
        <v>1</v>
      </c>
      <c r="N19" s="5" t="inlineStr">
        <is>
          <t>Older/annual/low-demand: small lift</t>
        </is>
      </c>
      <c r="O19" s="10" t="inlineStr">
        <is>
          <t>Open</t>
        </is>
      </c>
    </row>
    <row r="20">
      <c r="A20" s="4" t="n">
        <v>16</v>
      </c>
      <c r="B20" s="5" t="inlineStr">
        <is>
          <t>Concrete Genie</t>
        </is>
      </c>
      <c r="C20" s="5" t="inlineStr">
        <is>
          <t>PlayStation 4</t>
        </is>
      </c>
      <c r="D20" s="5" t="inlineStr">
        <is>
          <t>Standard</t>
        </is>
      </c>
      <c r="E20" s="5" t="inlineStr">
        <is>
          <t>Used, Good</t>
        </is>
      </c>
      <c r="F20" s="6" t="n">
        <v>2019</v>
      </c>
      <c r="G20" s="5" t="inlineStr">
        <is>
          <t>Adventure</t>
        </is>
      </c>
      <c r="H20" s="7" t="n">
        <v>15</v>
      </c>
      <c r="I20" s="8" t="n">
        <v>15</v>
      </c>
      <c r="J20" s="7">
        <f>I20-H20</f>
        <v/>
      </c>
      <c r="K20" s="9">
        <f>IF(H20=0,0,J20/H20)</f>
        <v/>
      </c>
      <c r="L20" s="5" t="inlineStr">
        <is>
          <t>Active</t>
        </is>
      </c>
      <c r="M20" s="6" t="n">
        <v>1</v>
      </c>
      <c r="N20" s="5" t="inlineStr">
        <is>
          <t>Unchanged: already at or above market floor</t>
        </is>
      </c>
      <c r="O20" s="10" t="inlineStr">
        <is>
          <t>Open</t>
        </is>
      </c>
    </row>
    <row r="21">
      <c r="A21" s="4" t="n">
        <v>17</v>
      </c>
      <c r="B21" s="5" t="inlineStr">
        <is>
          <t>Control</t>
        </is>
      </c>
      <c r="C21" s="5" t="inlineStr">
        <is>
          <t>PlayStation 4</t>
        </is>
      </c>
      <c r="D21" s="5" t="inlineStr">
        <is>
          <t>Standard</t>
        </is>
      </c>
      <c r="E21" s="5" t="inlineStr">
        <is>
          <t>Used, Good</t>
        </is>
      </c>
      <c r="F21" s="6" t="n">
        <v>2019</v>
      </c>
      <c r="G21" s="5" t="inlineStr">
        <is>
          <t>Action, Adventure</t>
        </is>
      </c>
      <c r="H21" s="7" t="n">
        <v>12</v>
      </c>
      <c r="I21" s="8" t="n">
        <v>15</v>
      </c>
      <c r="J21" s="7">
        <f>I21-H21</f>
        <v/>
      </c>
      <c r="K21" s="9">
        <f>IF(H21=0,0,J21/H21)</f>
        <v/>
      </c>
      <c r="L21" s="5" t="inlineStr">
        <is>
          <t>Active</t>
        </is>
      </c>
      <c r="M21" s="6" t="n">
        <v>1</v>
      </c>
      <c r="N21" s="5" t="inlineStr">
        <is>
          <t>Popular title: raised to market range</t>
        </is>
      </c>
      <c r="O21" s="10" t="inlineStr">
        <is>
          <t>Open</t>
        </is>
      </c>
    </row>
    <row r="22">
      <c r="A22" s="4" t="n">
        <v>18</v>
      </c>
      <c r="B22" s="5" t="inlineStr">
        <is>
          <t>Dark Souls II</t>
        </is>
      </c>
      <c r="C22" s="5" t="inlineStr">
        <is>
          <t>PlayStation 4</t>
        </is>
      </c>
      <c r="D22" s="5" t="inlineStr">
        <is>
          <t>Standard</t>
        </is>
      </c>
      <c r="E22" s="5" t="inlineStr">
        <is>
          <t>Used, Good</t>
        </is>
      </c>
      <c r="F22" s="6" t="n">
        <v>2014</v>
      </c>
      <c r="G22" s="5" t="inlineStr">
        <is>
          <t>RPG, Action</t>
        </is>
      </c>
      <c r="H22" s="7" t="n">
        <v>13</v>
      </c>
      <c r="I22" s="8" t="n">
        <v>13</v>
      </c>
      <c r="J22" s="7">
        <f>I22-H22</f>
        <v/>
      </c>
      <c r="K22" s="9">
        <f>IF(H22=0,0,J22/H22)</f>
        <v/>
      </c>
      <c r="L22" s="5" t="inlineStr">
        <is>
          <t>Active</t>
        </is>
      </c>
      <c r="M22" s="6" t="n">
        <v>1</v>
      </c>
      <c r="N22" s="5" t="inlineStr">
        <is>
          <t>Unchanged: already at or above market floor</t>
        </is>
      </c>
      <c r="O22" s="10" t="inlineStr">
        <is>
          <t>Open</t>
        </is>
      </c>
    </row>
    <row r="23">
      <c r="A23" s="4" t="n">
        <v>19</v>
      </c>
      <c r="B23" s="5" t="inlineStr">
        <is>
          <t>Dark Souls Remastered</t>
        </is>
      </c>
      <c r="C23" s="5" t="inlineStr">
        <is>
          <t>PlayStation 4</t>
        </is>
      </c>
      <c r="D23" s="5" t="inlineStr">
        <is>
          <t>Standard</t>
        </is>
      </c>
      <c r="E23" s="5" t="inlineStr">
        <is>
          <t>Used, Good</t>
        </is>
      </c>
      <c r="F23" s="6" t="n">
        <v>2018</v>
      </c>
      <c r="G23" s="5" t="inlineStr">
        <is>
          <t>Action, RPG</t>
        </is>
      </c>
      <c r="H23" s="7" t="n">
        <v>15</v>
      </c>
      <c r="I23" s="8" t="n">
        <v>15</v>
      </c>
      <c r="J23" s="7">
        <f>I23-H23</f>
        <v/>
      </c>
      <c r="K23" s="9">
        <f>IF(H23=0,0,J23/H23)</f>
        <v/>
      </c>
      <c r="L23" s="5" t="inlineStr">
        <is>
          <t>Active</t>
        </is>
      </c>
      <c r="M23" s="6" t="n">
        <v>1</v>
      </c>
      <c r="N23" s="5" t="inlineStr">
        <is>
          <t>Unchanged: already at or above market floor</t>
        </is>
      </c>
      <c r="O23" s="10" t="inlineStr">
        <is>
          <t>Open</t>
        </is>
      </c>
    </row>
    <row r="24">
      <c r="A24" s="4" t="n">
        <v>20</v>
      </c>
      <c r="B24" s="5" t="inlineStr">
        <is>
          <t>Darksiders II: Deathinitive Edition</t>
        </is>
      </c>
      <c r="C24" s="5" t="inlineStr">
        <is>
          <t>PlayStation 4</t>
        </is>
      </c>
      <c r="D24" s="5" t="inlineStr">
        <is>
          <t>Standard</t>
        </is>
      </c>
      <c r="E24" s="5" t="inlineStr">
        <is>
          <t>Used, Good</t>
        </is>
      </c>
      <c r="F24" s="6" t="n">
        <v>2015</v>
      </c>
      <c r="G24" s="5" t="inlineStr">
        <is>
          <t>Action, RPG</t>
        </is>
      </c>
      <c r="H24" s="7" t="n">
        <v>10</v>
      </c>
      <c r="I24" s="8" t="n">
        <v>12</v>
      </c>
      <c r="J24" s="7">
        <f>I24-H24</f>
        <v/>
      </c>
      <c r="K24" s="9">
        <f>IF(H24=0,0,J24/H24)</f>
        <v/>
      </c>
      <c r="L24" s="5" t="inlineStr">
        <is>
          <t>Active</t>
        </is>
      </c>
      <c r="M24" s="6" t="n">
        <v>1</v>
      </c>
      <c r="N24" s="5" t="inlineStr">
        <is>
          <t>Raised to the $12 floor for ordinary titles</t>
        </is>
      </c>
      <c r="O24" s="10" t="inlineStr">
        <is>
          <t>Open</t>
        </is>
      </c>
    </row>
    <row r="25">
      <c r="A25" s="4" t="n">
        <v>21</v>
      </c>
      <c r="B25" s="5" t="inlineStr">
        <is>
          <t>Darksiders III</t>
        </is>
      </c>
      <c r="C25" s="5" t="inlineStr">
        <is>
          <t>PlayStation 4</t>
        </is>
      </c>
      <c r="D25" s="5" t="inlineStr">
        <is>
          <t>Standard</t>
        </is>
      </c>
      <c r="E25" s="5" t="inlineStr">
        <is>
          <t>Used, Good</t>
        </is>
      </c>
      <c r="F25" s="6" t="n">
        <v>2018</v>
      </c>
      <c r="G25" s="5" t="inlineStr">
        <is>
          <t>Action, RPG</t>
        </is>
      </c>
      <c r="H25" s="7" t="n">
        <v>12</v>
      </c>
      <c r="I25" s="8" t="n">
        <v>12</v>
      </c>
      <c r="J25" s="7">
        <f>I25-H25</f>
        <v/>
      </c>
      <c r="K25" s="9">
        <f>IF(H25=0,0,J25/H25)</f>
        <v/>
      </c>
      <c r="L25" s="5" t="inlineStr">
        <is>
          <t>Active</t>
        </is>
      </c>
      <c r="M25" s="6" t="n">
        <v>1</v>
      </c>
      <c r="N25" s="5" t="inlineStr">
        <is>
          <t>Unchanged: already at or above market floor</t>
        </is>
      </c>
      <c r="O25" s="10" t="inlineStr">
        <is>
          <t>Open</t>
        </is>
      </c>
    </row>
    <row r="26">
      <c r="A26" s="4" t="n">
        <v>22</v>
      </c>
      <c r="B26" s="5" t="inlineStr">
        <is>
          <t>Days Gone</t>
        </is>
      </c>
      <c r="C26" s="5" t="inlineStr">
        <is>
          <t>PlayStation 4</t>
        </is>
      </c>
      <c r="D26" s="5" t="inlineStr">
        <is>
          <t>Standard</t>
        </is>
      </c>
      <c r="E26" s="5" t="inlineStr">
        <is>
          <t>Used, Good</t>
        </is>
      </c>
      <c r="F26" s="6" t="n">
        <v>2019</v>
      </c>
      <c r="G26" s="5" t="inlineStr">
        <is>
          <t>Action, Open World, Horror</t>
        </is>
      </c>
      <c r="H26" s="7" t="n">
        <v>15</v>
      </c>
      <c r="I26" s="8" t="n">
        <v>16</v>
      </c>
      <c r="J26" s="7">
        <f>I26-H26</f>
        <v/>
      </c>
      <c r="K26" s="9">
        <f>IF(H26=0,0,J26/H26)</f>
        <v/>
      </c>
      <c r="L26" s="5" t="inlineStr">
        <is>
          <t>Active</t>
        </is>
      </c>
      <c r="M26" s="6" t="n">
        <v>1</v>
      </c>
      <c r="N26" s="5" t="inlineStr">
        <is>
          <t>Popular title: raised to market range</t>
        </is>
      </c>
      <c r="O26" s="10" t="inlineStr">
        <is>
          <t>Open</t>
        </is>
      </c>
    </row>
    <row r="27">
      <c r="A27" s="4" t="n">
        <v>23</v>
      </c>
      <c r="B27" s="5" t="inlineStr">
        <is>
          <t>Dead by Daylight</t>
        </is>
      </c>
      <c r="C27" s="5" t="inlineStr">
        <is>
          <t>PlayStation 4</t>
        </is>
      </c>
      <c r="D27" s="5" t="inlineStr">
        <is>
          <t>Standard</t>
        </is>
      </c>
      <c r="E27" s="5" t="inlineStr">
        <is>
          <t>Used, Good</t>
        </is>
      </c>
      <c r="F27" s="6" t="n">
        <v>2017</v>
      </c>
      <c r="G27" s="5" t="inlineStr">
        <is>
          <t>Horror</t>
        </is>
      </c>
      <c r="H27" s="7" t="n">
        <v>10</v>
      </c>
      <c r="I27" s="8" t="n">
        <v>10</v>
      </c>
      <c r="J27" s="7">
        <f>I27-H27</f>
        <v/>
      </c>
      <c r="K27" s="9">
        <f>IF(H27=0,0,J27/H27)</f>
        <v/>
      </c>
      <c r="L27" s="5" t="inlineStr">
        <is>
          <t>Active</t>
        </is>
      </c>
      <c r="M27" s="6" t="n">
        <v>1</v>
      </c>
      <c r="N27" s="5" t="inlineStr">
        <is>
          <t>Older/annual/low-demand: unchanged</t>
        </is>
      </c>
      <c r="O27" s="10" t="inlineStr">
        <is>
          <t>Open</t>
        </is>
      </c>
    </row>
    <row r="28">
      <c r="A28" s="4" t="n">
        <v>24</v>
      </c>
      <c r="B28" s="5" t="inlineStr">
        <is>
          <t>Death Stranding</t>
        </is>
      </c>
      <c r="C28" s="5" t="inlineStr">
        <is>
          <t>PlayStation 4</t>
        </is>
      </c>
      <c r="D28" s="5" t="inlineStr">
        <is>
          <t>Standard</t>
        </is>
      </c>
      <c r="E28" s="5" t="inlineStr">
        <is>
          <t>Used, Good</t>
        </is>
      </c>
      <c r="F28" s="6" t="n">
        <v>2019</v>
      </c>
      <c r="G28" s="5" t="inlineStr">
        <is>
          <t>Action, Adventure</t>
        </is>
      </c>
      <c r="H28" s="7" t="n">
        <v>12</v>
      </c>
      <c r="I28" s="8" t="n">
        <v>16</v>
      </c>
      <c r="J28" s="7">
        <f>I28-H28</f>
        <v/>
      </c>
      <c r="K28" s="9">
        <f>IF(H28=0,0,J28/H28)</f>
        <v/>
      </c>
      <c r="L28" s="5" t="inlineStr">
        <is>
          <t>Active</t>
        </is>
      </c>
      <c r="M28" s="6" t="n">
        <v>1</v>
      </c>
      <c r="N28" s="5" t="inlineStr">
        <is>
          <t>Popular title: raised to market range</t>
        </is>
      </c>
      <c r="O28" s="10" t="inlineStr">
        <is>
          <t>Open</t>
        </is>
      </c>
    </row>
    <row r="29">
      <c r="A29" s="4" t="n">
        <v>25</v>
      </c>
      <c r="B29" s="5" t="inlineStr">
        <is>
          <t>Destiny</t>
        </is>
      </c>
      <c r="C29" s="5" t="inlineStr">
        <is>
          <t>PlayStation 4</t>
        </is>
      </c>
      <c r="D29" s="5" t="inlineStr">
        <is>
          <t>Standard</t>
        </is>
      </c>
      <c r="E29" s="5" t="inlineStr">
        <is>
          <t>Used, Good</t>
        </is>
      </c>
      <c r="F29" s="6" t="n">
        <v>2014</v>
      </c>
      <c r="G29" s="5" t="inlineStr">
        <is>
          <t>Shooter</t>
        </is>
      </c>
      <c r="H29" s="7" t="n">
        <v>5</v>
      </c>
      <c r="I29" s="8" t="n">
        <v>8</v>
      </c>
      <c r="J29" s="7">
        <f>I29-H29</f>
        <v/>
      </c>
      <c r="K29" s="9">
        <f>IF(H29=0,0,J29/H29)</f>
        <v/>
      </c>
      <c r="L29" s="5" t="inlineStr">
        <is>
          <t>Active</t>
        </is>
      </c>
      <c r="M29" s="6" t="n">
        <v>1</v>
      </c>
      <c r="N29" s="5" t="inlineStr">
        <is>
          <t>Older/annual/low-demand: small lift</t>
        </is>
      </c>
      <c r="O29" s="10" t="inlineStr">
        <is>
          <t>Open</t>
        </is>
      </c>
    </row>
    <row r="30">
      <c r="A30" s="4" t="n">
        <v>26</v>
      </c>
      <c r="B30" s="5" t="inlineStr">
        <is>
          <t>Detroit: Become Human</t>
        </is>
      </c>
      <c r="C30" s="5" t="inlineStr">
        <is>
          <t>PlayStation 4</t>
        </is>
      </c>
      <c r="D30" s="5" t="inlineStr">
        <is>
          <t>Standard</t>
        </is>
      </c>
      <c r="E30" s="5" t="inlineStr">
        <is>
          <t>Used, Good</t>
        </is>
      </c>
      <c r="F30" s="6" t="n">
        <v>2018</v>
      </c>
      <c r="G30" s="5" t="inlineStr">
        <is>
          <t>Adventure</t>
        </is>
      </c>
      <c r="H30" s="7" t="n">
        <v>15</v>
      </c>
      <c r="I30" s="8" t="n">
        <v>16</v>
      </c>
      <c r="J30" s="7">
        <f>I30-H30</f>
        <v/>
      </c>
      <c r="K30" s="9">
        <f>IF(H30=0,0,J30/H30)</f>
        <v/>
      </c>
      <c r="L30" s="5" t="inlineStr">
        <is>
          <t>Active</t>
        </is>
      </c>
      <c r="M30" s="6" t="n">
        <v>1</v>
      </c>
      <c r="N30" s="5" t="inlineStr">
        <is>
          <t>Popular title: raised to market range</t>
        </is>
      </c>
      <c r="O30" s="10" t="inlineStr">
        <is>
          <t>Open</t>
        </is>
      </c>
    </row>
    <row r="31">
      <c r="A31" s="4" t="n">
        <v>27</v>
      </c>
      <c r="B31" s="5" t="inlineStr">
        <is>
          <t>Deus Ex: Mankind Divided</t>
        </is>
      </c>
      <c r="C31" s="5" t="inlineStr">
        <is>
          <t>PlayStation 4</t>
        </is>
      </c>
      <c r="D31" s="5" t="inlineStr">
        <is>
          <t>Standard</t>
        </is>
      </c>
      <c r="E31" s="5" t="inlineStr">
        <is>
          <t>Used, Good</t>
        </is>
      </c>
      <c r="F31" s="6" t="n">
        <v>2016</v>
      </c>
      <c r="G31" s="5" t="inlineStr">
        <is>
          <t>Action, RPG</t>
        </is>
      </c>
      <c r="H31" s="7" t="n">
        <v>8</v>
      </c>
      <c r="I31" s="8" t="n">
        <v>10</v>
      </c>
      <c r="J31" s="7">
        <f>I31-H31</f>
        <v/>
      </c>
      <c r="K31" s="9">
        <f>IF(H31=0,0,J31/H31)</f>
        <v/>
      </c>
      <c r="L31" s="5" t="inlineStr">
        <is>
          <t>Active</t>
        </is>
      </c>
      <c r="M31" s="6" t="n">
        <v>1</v>
      </c>
      <c r="N31" s="5" t="inlineStr">
        <is>
          <t>Older/annual/low-demand: small lift</t>
        </is>
      </c>
      <c r="O31" s="10" t="inlineStr">
        <is>
          <t>Open</t>
        </is>
      </c>
    </row>
    <row r="32">
      <c r="A32" s="4" t="n">
        <v>28</v>
      </c>
      <c r="B32" s="5" t="inlineStr">
        <is>
          <t>Devil May Cry 5</t>
        </is>
      </c>
      <c r="C32" s="5" t="inlineStr">
        <is>
          <t>PlayStation 4</t>
        </is>
      </c>
      <c r="D32" s="5" t="inlineStr">
        <is>
          <t>Standard</t>
        </is>
      </c>
      <c r="E32" s="5" t="inlineStr">
        <is>
          <t>Used, Good</t>
        </is>
      </c>
      <c r="F32" s="6" t="n">
        <v>2019</v>
      </c>
      <c r="G32" s="5" t="inlineStr">
        <is>
          <t>Action</t>
        </is>
      </c>
      <c r="H32" s="7" t="n">
        <v>12</v>
      </c>
      <c r="I32" s="8" t="n">
        <v>15</v>
      </c>
      <c r="J32" s="7">
        <f>I32-H32</f>
        <v/>
      </c>
      <c r="K32" s="9">
        <f>IF(H32=0,0,J32/H32)</f>
        <v/>
      </c>
      <c r="L32" s="5" t="inlineStr">
        <is>
          <t>Active</t>
        </is>
      </c>
      <c r="M32" s="6" t="n">
        <v>1</v>
      </c>
      <c r="N32" s="5" t="inlineStr">
        <is>
          <t>Popular title: raised to market range</t>
        </is>
      </c>
      <c r="O32" s="10" t="inlineStr">
        <is>
          <t>Open</t>
        </is>
      </c>
    </row>
    <row r="33">
      <c r="A33" s="4" t="n">
        <v>29</v>
      </c>
      <c r="B33" s="5" t="inlineStr">
        <is>
          <t>Dishonored: Death of the Outsider</t>
        </is>
      </c>
      <c r="C33" s="5" t="inlineStr">
        <is>
          <t>PlayStation 4</t>
        </is>
      </c>
      <c r="D33" s="5" t="inlineStr">
        <is>
          <t>Standard</t>
        </is>
      </c>
      <c r="E33" s="5" t="inlineStr">
        <is>
          <t>Used, Good</t>
        </is>
      </c>
      <c r="F33" s="6" t="n">
        <v>2017</v>
      </c>
      <c r="G33" s="5" t="inlineStr">
        <is>
          <t>Action, Adventure</t>
        </is>
      </c>
      <c r="H33" s="7" t="n">
        <v>10</v>
      </c>
      <c r="I33" s="8" t="n">
        <v>12</v>
      </c>
      <c r="J33" s="7">
        <f>I33-H33</f>
        <v/>
      </c>
      <c r="K33" s="9">
        <f>IF(H33=0,0,J33/H33)</f>
        <v/>
      </c>
      <c r="L33" s="5" t="inlineStr">
        <is>
          <t>Active</t>
        </is>
      </c>
      <c r="M33" s="6" t="n">
        <v>1</v>
      </c>
      <c r="N33" s="5" t="inlineStr">
        <is>
          <t>Raised to the $12 floor for ordinary titles</t>
        </is>
      </c>
      <c r="O33" s="10" t="inlineStr">
        <is>
          <t>Open</t>
        </is>
      </c>
    </row>
    <row r="34">
      <c r="A34" s="4" t="n">
        <v>30</v>
      </c>
      <c r="B34" s="5" t="inlineStr">
        <is>
          <t>DOOM</t>
        </is>
      </c>
      <c r="C34" s="5" t="inlineStr">
        <is>
          <t>PlayStation 4</t>
        </is>
      </c>
      <c r="D34" s="5" t="inlineStr">
        <is>
          <t>Standard</t>
        </is>
      </c>
      <c r="E34" s="5" t="inlineStr">
        <is>
          <t>Used, Good</t>
        </is>
      </c>
      <c r="F34" s="6" t="n">
        <v>2016</v>
      </c>
      <c r="G34" s="5" t="inlineStr">
        <is>
          <t>Shooter</t>
        </is>
      </c>
      <c r="H34" s="7" t="n">
        <v>10</v>
      </c>
      <c r="I34" s="8" t="n">
        <v>12</v>
      </c>
      <c r="J34" s="7">
        <f>I34-H34</f>
        <v/>
      </c>
      <c r="K34" s="9">
        <f>IF(H34=0,0,J34/H34)</f>
        <v/>
      </c>
      <c r="L34" s="5" t="inlineStr">
        <is>
          <t>Active</t>
        </is>
      </c>
      <c r="M34" s="6" t="n">
        <v>1</v>
      </c>
      <c r="N34" s="5" t="inlineStr">
        <is>
          <t>Raised to the $12 floor for ordinary titles</t>
        </is>
      </c>
      <c r="O34" s="10" t="inlineStr">
        <is>
          <t>Open</t>
        </is>
      </c>
    </row>
    <row r="35">
      <c r="A35" s="4" t="n">
        <v>31</v>
      </c>
      <c r="B35" s="5" t="inlineStr">
        <is>
          <t>Dragon's Dogma: Dark Arisen</t>
        </is>
      </c>
      <c r="C35" s="5" t="inlineStr">
        <is>
          <t>PlayStation 4</t>
        </is>
      </c>
      <c r="D35" s="5" t="inlineStr">
        <is>
          <t>Standard</t>
        </is>
      </c>
      <c r="E35" s="5" t="inlineStr">
        <is>
          <t>Used, Good</t>
        </is>
      </c>
      <c r="F35" s="6" t="n">
        <v>2017</v>
      </c>
      <c r="G35" s="5" t="inlineStr">
        <is>
          <t>Action, RPG, Open World</t>
        </is>
      </c>
      <c r="H35" s="7" t="n">
        <v>12</v>
      </c>
      <c r="I35" s="8" t="n">
        <v>12</v>
      </c>
      <c r="J35" s="7">
        <f>I35-H35</f>
        <v/>
      </c>
      <c r="K35" s="9">
        <f>IF(H35=0,0,J35/H35)</f>
        <v/>
      </c>
      <c r="L35" s="5" t="inlineStr">
        <is>
          <t>Active</t>
        </is>
      </c>
      <c r="M35" s="6" t="n">
        <v>1</v>
      </c>
      <c r="N35" s="5" t="inlineStr">
        <is>
          <t>Unchanged: already at or above market floor</t>
        </is>
      </c>
      <c r="O35" s="10" t="inlineStr">
        <is>
          <t>Open</t>
        </is>
      </c>
    </row>
    <row r="36">
      <c r="A36" s="4" t="n">
        <v>32</v>
      </c>
      <c r="B36" s="5" t="inlineStr">
        <is>
          <t>Dying Light: The Following Enhanced Edition</t>
        </is>
      </c>
      <c r="C36" s="5" t="inlineStr">
        <is>
          <t>PlayStation 4</t>
        </is>
      </c>
      <c r="D36" s="5" t="inlineStr">
        <is>
          <t>Standard</t>
        </is>
      </c>
      <c r="E36" s="5" t="inlineStr">
        <is>
          <t>Used, Good</t>
        </is>
      </c>
      <c r="F36" s="6" t="n">
        <v>2016</v>
      </c>
      <c r="G36" s="5" t="inlineStr">
        <is>
          <t>Action, Horror, Open World</t>
        </is>
      </c>
      <c r="H36" s="7" t="n">
        <v>15</v>
      </c>
      <c r="I36" s="8" t="n">
        <v>15</v>
      </c>
      <c r="J36" s="7">
        <f>I36-H36</f>
        <v/>
      </c>
      <c r="K36" s="9">
        <f>IF(H36=0,0,J36/H36)</f>
        <v/>
      </c>
      <c r="L36" s="5" t="inlineStr">
        <is>
          <t>Active</t>
        </is>
      </c>
      <c r="M36" s="6" t="n">
        <v>1</v>
      </c>
      <c r="N36" s="5" t="inlineStr">
        <is>
          <t>Unchanged: already at or above market floor</t>
        </is>
      </c>
      <c r="O36" s="10" t="inlineStr">
        <is>
          <t>Open</t>
        </is>
      </c>
    </row>
    <row r="37">
      <c r="A37" s="4" t="n">
        <v>33</v>
      </c>
      <c r="B37" s="5" t="inlineStr">
        <is>
          <t>EA Sports FC 26</t>
        </is>
      </c>
      <c r="C37" s="5" t="inlineStr">
        <is>
          <t>PlayStation 4</t>
        </is>
      </c>
      <c r="D37" s="5" t="inlineStr">
        <is>
          <t>Standard</t>
        </is>
      </c>
      <c r="E37" s="5" t="inlineStr">
        <is>
          <t>Used, Good</t>
        </is>
      </c>
      <c r="F37" s="6" t="n">
        <v>2025</v>
      </c>
      <c r="G37" s="5" t="inlineStr">
        <is>
          <t>Sports</t>
        </is>
      </c>
      <c r="H37" s="7" t="n">
        <v>30</v>
      </c>
      <c r="I37" s="8" t="n">
        <v>30</v>
      </c>
      <c r="J37" s="7">
        <f>I37-H37</f>
        <v/>
      </c>
      <c r="K37" s="9">
        <f>IF(H37=0,0,J37/H37)</f>
        <v/>
      </c>
      <c r="L37" s="5" t="inlineStr">
        <is>
          <t>Active</t>
        </is>
      </c>
      <c r="M37" s="6" t="n">
        <v>1</v>
      </c>
      <c r="N37" s="5" t="inlineStr">
        <is>
          <t>Unchanged: already at or above market floor</t>
        </is>
      </c>
      <c r="O37" s="10" t="inlineStr">
        <is>
          <t>Open</t>
        </is>
      </c>
    </row>
    <row r="38">
      <c r="A38" s="4" t="n">
        <v>34</v>
      </c>
      <c r="B38" s="5" t="inlineStr">
        <is>
          <t>Far Cry 4</t>
        </is>
      </c>
      <c r="C38" s="5" t="inlineStr">
        <is>
          <t>PlayStation 4</t>
        </is>
      </c>
      <c r="D38" s="5" t="inlineStr">
        <is>
          <t>Standard</t>
        </is>
      </c>
      <c r="E38" s="5" t="inlineStr">
        <is>
          <t>Used, Good</t>
        </is>
      </c>
      <c r="F38" s="6" t="n">
        <v>2014</v>
      </c>
      <c r="G38" s="5" t="inlineStr">
        <is>
          <t>Shooter, Open World</t>
        </is>
      </c>
      <c r="H38" s="7" t="n">
        <v>8</v>
      </c>
      <c r="I38" s="8" t="n">
        <v>12</v>
      </c>
      <c r="J38" s="7">
        <f>I38-H38</f>
        <v/>
      </c>
      <c r="K38" s="9">
        <f>IF(H38=0,0,J38/H38)</f>
        <v/>
      </c>
      <c r="L38" s="5" t="inlineStr">
        <is>
          <t>Active</t>
        </is>
      </c>
      <c r="M38" s="6" t="n">
        <v>1</v>
      </c>
      <c r="N38" s="5" t="inlineStr">
        <is>
          <t>Raised to the $12 floor for ordinary titles</t>
        </is>
      </c>
      <c r="O38" s="10" t="inlineStr">
        <is>
          <t>Open</t>
        </is>
      </c>
    </row>
    <row r="39">
      <c r="A39" s="4" t="n">
        <v>35</v>
      </c>
      <c r="B39" s="5" t="inlineStr">
        <is>
          <t>Far Cry Primal</t>
        </is>
      </c>
      <c r="C39" s="5" t="inlineStr">
        <is>
          <t>PlayStation 4</t>
        </is>
      </c>
      <c r="D39" s="5" t="inlineStr">
        <is>
          <t>Standard</t>
        </is>
      </c>
      <c r="E39" s="5" t="inlineStr">
        <is>
          <t>Used, Good</t>
        </is>
      </c>
      <c r="F39" s="6" t="n">
        <v>2016</v>
      </c>
      <c r="G39" s="5" t="inlineStr">
        <is>
          <t>Action, Open World</t>
        </is>
      </c>
      <c r="H39" s="7" t="n">
        <v>10</v>
      </c>
      <c r="I39" s="8" t="n">
        <v>12</v>
      </c>
      <c r="J39" s="7">
        <f>I39-H39</f>
        <v/>
      </c>
      <c r="K39" s="9">
        <f>IF(H39=0,0,J39/H39)</f>
        <v/>
      </c>
      <c r="L39" s="5" t="inlineStr">
        <is>
          <t>Active</t>
        </is>
      </c>
      <c r="M39" s="6" t="n">
        <v>1</v>
      </c>
      <c r="N39" s="5" t="inlineStr">
        <is>
          <t>Raised to the $12 floor for ordinary titles</t>
        </is>
      </c>
      <c r="O39" s="10" t="inlineStr">
        <is>
          <t>Open</t>
        </is>
      </c>
    </row>
    <row r="40">
      <c r="A40" s="4" t="n">
        <v>36</v>
      </c>
      <c r="B40" s="5" t="inlineStr">
        <is>
          <t>FIFA 20</t>
        </is>
      </c>
      <c r="C40" s="5" t="inlineStr">
        <is>
          <t>PlayStation 4</t>
        </is>
      </c>
      <c r="D40" s="5" t="inlineStr">
        <is>
          <t>Standard</t>
        </is>
      </c>
      <c r="E40" s="5" t="inlineStr">
        <is>
          <t>Used, Good</t>
        </is>
      </c>
      <c r="F40" s="6" t="n">
        <v>2019</v>
      </c>
      <c r="G40" s="5" t="inlineStr">
        <is>
          <t>Sports</t>
        </is>
      </c>
      <c r="H40" s="7" t="n">
        <v>5</v>
      </c>
      <c r="I40" s="8" t="n">
        <v>6</v>
      </c>
      <c r="J40" s="7">
        <f>I40-H40</f>
        <v/>
      </c>
      <c r="K40" s="9">
        <f>IF(H40=0,0,J40/H40)</f>
        <v/>
      </c>
      <c r="L40" s="5" t="inlineStr">
        <is>
          <t>Active</t>
        </is>
      </c>
      <c r="M40" s="6" t="n">
        <v>1</v>
      </c>
      <c r="N40" s="5" t="inlineStr">
        <is>
          <t>Older/annual/low-demand: small lift</t>
        </is>
      </c>
      <c r="O40" s="10" t="inlineStr">
        <is>
          <t>Open</t>
        </is>
      </c>
    </row>
    <row r="41">
      <c r="A41" s="4" t="n">
        <v>37</v>
      </c>
      <c r="B41" s="5" t="inlineStr">
        <is>
          <t>FIFA 22</t>
        </is>
      </c>
      <c r="C41" s="5" t="inlineStr">
        <is>
          <t>PlayStation 4</t>
        </is>
      </c>
      <c r="D41" s="5" t="inlineStr">
        <is>
          <t>Standard</t>
        </is>
      </c>
      <c r="E41" s="5" t="inlineStr">
        <is>
          <t>Used, Good</t>
        </is>
      </c>
      <c r="F41" s="6" t="n">
        <v>2021</v>
      </c>
      <c r="G41" s="5" t="inlineStr">
        <is>
          <t>Sports</t>
        </is>
      </c>
      <c r="H41" s="7" t="n">
        <v>5</v>
      </c>
      <c r="I41" s="8" t="n">
        <v>8</v>
      </c>
      <c r="J41" s="7">
        <f>I41-H41</f>
        <v/>
      </c>
      <c r="K41" s="9">
        <f>IF(H41=0,0,J41/H41)</f>
        <v/>
      </c>
      <c r="L41" s="5" t="inlineStr">
        <is>
          <t>Active</t>
        </is>
      </c>
      <c r="M41" s="6" t="n">
        <v>1</v>
      </c>
      <c r="N41" s="5" t="inlineStr">
        <is>
          <t>Older/annual/low-demand: small lift</t>
        </is>
      </c>
      <c r="O41" s="10" t="inlineStr">
        <is>
          <t>Open</t>
        </is>
      </c>
    </row>
    <row r="42">
      <c r="A42" s="4" t="n">
        <v>38</v>
      </c>
      <c r="B42" s="5" t="inlineStr">
        <is>
          <t>Final Fantasy XIV: Stormblood</t>
        </is>
      </c>
      <c r="C42" s="5" t="inlineStr">
        <is>
          <t>PlayStation 4</t>
        </is>
      </c>
      <c r="D42" s="5" t="inlineStr">
        <is>
          <t>Standard</t>
        </is>
      </c>
      <c r="E42" s="5" t="inlineStr">
        <is>
          <t>Used, Good</t>
        </is>
      </c>
      <c r="F42" s="6" t="n">
        <v>2017</v>
      </c>
      <c r="G42" s="5" t="inlineStr">
        <is>
          <t>RPG</t>
        </is>
      </c>
      <c r="H42" s="7" t="n">
        <v>8</v>
      </c>
      <c r="I42" s="8" t="n">
        <v>8</v>
      </c>
      <c r="J42" s="7">
        <f>I42-H42</f>
        <v/>
      </c>
      <c r="K42" s="9">
        <f>IF(H42=0,0,J42/H42)</f>
        <v/>
      </c>
      <c r="L42" s="5" t="inlineStr">
        <is>
          <t>Active</t>
        </is>
      </c>
      <c r="M42" s="6" t="n">
        <v>1</v>
      </c>
      <c r="N42" s="5" t="inlineStr">
        <is>
          <t>Older/annual/low-demand: unchanged</t>
        </is>
      </c>
      <c r="O42" s="10" t="inlineStr">
        <is>
          <t>Open</t>
        </is>
      </c>
    </row>
    <row r="43">
      <c r="A43" s="4" t="n">
        <v>39</v>
      </c>
      <c r="B43" s="5" t="inlineStr">
        <is>
          <t>Ghost of Tsushima</t>
        </is>
      </c>
      <c r="C43" s="5" t="inlineStr">
        <is>
          <t>PlayStation 4</t>
        </is>
      </c>
      <c r="D43" s="5" t="inlineStr">
        <is>
          <t>Standard</t>
        </is>
      </c>
      <c r="E43" s="5" t="inlineStr">
        <is>
          <t>Used, Good</t>
        </is>
      </c>
      <c r="F43" s="6" t="n">
        <v>2020</v>
      </c>
      <c r="G43" s="5" t="inlineStr">
        <is>
          <t>Action, Open World</t>
        </is>
      </c>
      <c r="H43" s="7" t="n">
        <v>20</v>
      </c>
      <c r="I43" s="8" t="n">
        <v>20</v>
      </c>
      <c r="J43" s="7">
        <f>I43-H43</f>
        <v/>
      </c>
      <c r="K43" s="9">
        <f>IF(H43=0,0,J43/H43)</f>
        <v/>
      </c>
      <c r="L43" s="5" t="inlineStr">
        <is>
          <t>Active</t>
        </is>
      </c>
      <c r="M43" s="6" t="n">
        <v>1</v>
      </c>
      <c r="N43" s="5" t="inlineStr">
        <is>
          <t>Unchanged: already at or above market floor</t>
        </is>
      </c>
      <c r="O43" s="10" t="inlineStr">
        <is>
          <t>Open</t>
        </is>
      </c>
    </row>
    <row r="44">
      <c r="A44" s="4" t="n">
        <v>40</v>
      </c>
      <c r="B44" s="5" t="inlineStr">
        <is>
          <t>God of War</t>
        </is>
      </c>
      <c r="C44" s="5" t="inlineStr">
        <is>
          <t>PlayStation 4</t>
        </is>
      </c>
      <c r="D44" s="5" t="inlineStr">
        <is>
          <t>Standard</t>
        </is>
      </c>
      <c r="E44" s="5" t="inlineStr">
        <is>
          <t>Used, Good</t>
        </is>
      </c>
      <c r="F44" s="6" t="n">
        <v>2018</v>
      </c>
      <c r="G44" s="5" t="inlineStr">
        <is>
          <t>Action, Adventure</t>
        </is>
      </c>
      <c r="H44" s="7" t="n">
        <v>18</v>
      </c>
      <c r="I44" s="8" t="n">
        <v>18</v>
      </c>
      <c r="J44" s="7">
        <f>I44-H44</f>
        <v/>
      </c>
      <c r="K44" s="9">
        <f>IF(H44=0,0,J44/H44)</f>
        <v/>
      </c>
      <c r="L44" s="5" t="inlineStr">
        <is>
          <t>Active</t>
        </is>
      </c>
      <c r="M44" s="6" t="n">
        <v>1</v>
      </c>
      <c r="N44" s="5" t="inlineStr">
        <is>
          <t>Unchanged: already at or above market floor</t>
        </is>
      </c>
      <c r="O44" s="10" t="inlineStr">
        <is>
          <t>Open</t>
        </is>
      </c>
    </row>
    <row r="45">
      <c r="A45" s="4" t="n">
        <v>41</v>
      </c>
      <c r="B45" s="5" t="inlineStr">
        <is>
          <t>God of War III Remastered</t>
        </is>
      </c>
      <c r="C45" s="5" t="inlineStr">
        <is>
          <t>PlayStation 4</t>
        </is>
      </c>
      <c r="D45" s="5" t="inlineStr">
        <is>
          <t>Standard</t>
        </is>
      </c>
      <c r="E45" s="5" t="inlineStr">
        <is>
          <t>Used, Good</t>
        </is>
      </c>
      <c r="F45" s="6" t="n">
        <v>2015</v>
      </c>
      <c r="G45" s="5" t="inlineStr">
        <is>
          <t>Action</t>
        </is>
      </c>
      <c r="H45" s="7" t="n">
        <v>10</v>
      </c>
      <c r="I45" s="8" t="n">
        <v>14</v>
      </c>
      <c r="J45" s="7">
        <f>I45-H45</f>
        <v/>
      </c>
      <c r="K45" s="9">
        <f>IF(H45=0,0,J45/H45)</f>
        <v/>
      </c>
      <c r="L45" s="5" t="inlineStr">
        <is>
          <t>Active</t>
        </is>
      </c>
      <c r="M45" s="6" t="n">
        <v>1</v>
      </c>
      <c r="N45" s="5" t="inlineStr">
        <is>
          <t>Popular title: raised to market range</t>
        </is>
      </c>
      <c r="O45" s="10" t="inlineStr">
        <is>
          <t>Open</t>
        </is>
      </c>
    </row>
    <row r="46">
      <c r="A46" s="4" t="n">
        <v>42</v>
      </c>
      <c r="B46" s="5" t="inlineStr">
        <is>
          <t>Grand Theft Auto: The Trilogy - Definitive Edition</t>
        </is>
      </c>
      <c r="C46" s="5" t="inlineStr">
        <is>
          <t>PlayStation 4</t>
        </is>
      </c>
      <c r="D46" s="5" t="inlineStr">
        <is>
          <t>Standard</t>
        </is>
      </c>
      <c r="E46" s="5" t="inlineStr">
        <is>
          <t>Used, Good</t>
        </is>
      </c>
      <c r="F46" s="6" t="n">
        <v>2021</v>
      </c>
      <c r="G46" s="5" t="inlineStr">
        <is>
          <t>Action, Open World</t>
        </is>
      </c>
      <c r="H46" s="7" t="n">
        <v>18</v>
      </c>
      <c r="I46" s="8" t="n">
        <v>18</v>
      </c>
      <c r="J46" s="7">
        <f>I46-H46</f>
        <v/>
      </c>
      <c r="K46" s="9">
        <f>IF(H46=0,0,J46/H46)</f>
        <v/>
      </c>
      <c r="L46" s="5" t="inlineStr">
        <is>
          <t>Active</t>
        </is>
      </c>
      <c r="M46" s="6" t="n">
        <v>1</v>
      </c>
      <c r="N46" s="5" t="inlineStr">
        <is>
          <t>Unchanged: already at or above market floor</t>
        </is>
      </c>
      <c r="O46" s="10" t="inlineStr">
        <is>
          <t>Open</t>
        </is>
      </c>
    </row>
    <row r="47">
      <c r="A47" s="4" t="n">
        <v>43</v>
      </c>
      <c r="B47" s="5" t="inlineStr">
        <is>
          <t>Horizon Forbidden West</t>
        </is>
      </c>
      <c r="C47" s="5" t="inlineStr">
        <is>
          <t>PlayStation 4</t>
        </is>
      </c>
      <c r="D47" s="5" t="inlineStr">
        <is>
          <t>Standard</t>
        </is>
      </c>
      <c r="E47" s="5" t="inlineStr">
        <is>
          <t>Used, Good</t>
        </is>
      </c>
      <c r="F47" s="6" t="n">
        <v>2022</v>
      </c>
      <c r="G47" s="5" t="inlineStr">
        <is>
          <t>Action, RPG, Open World</t>
        </is>
      </c>
      <c r="H47" s="7" t="n">
        <v>20</v>
      </c>
      <c r="I47" s="8" t="n">
        <v>22</v>
      </c>
      <c r="J47" s="7">
        <f>I47-H47</f>
        <v/>
      </c>
      <c r="K47" s="9">
        <f>IF(H47=0,0,J47/H47)</f>
        <v/>
      </c>
      <c r="L47" s="5" t="inlineStr">
        <is>
          <t>Active</t>
        </is>
      </c>
      <c r="M47" s="6" t="n">
        <v>1</v>
      </c>
      <c r="N47" s="5" t="inlineStr">
        <is>
          <t>Popular title: raised to market range</t>
        </is>
      </c>
      <c r="O47" s="10" t="inlineStr">
        <is>
          <t>Open</t>
        </is>
      </c>
    </row>
    <row r="48">
      <c r="A48" s="4" t="n">
        <v>44</v>
      </c>
      <c r="B48" s="5" t="inlineStr">
        <is>
          <t>Horizon Zero Dawn</t>
        </is>
      </c>
      <c r="C48" s="5" t="inlineStr">
        <is>
          <t>PlayStation 4</t>
        </is>
      </c>
      <c r="D48" s="5" t="inlineStr">
        <is>
          <t>Standard</t>
        </is>
      </c>
      <c r="E48" s="5" t="inlineStr">
        <is>
          <t>Used, Good</t>
        </is>
      </c>
      <c r="F48" s="6" t="n">
        <v>2017</v>
      </c>
      <c r="G48" s="5" t="inlineStr">
        <is>
          <t>Action, RPG, Open World</t>
        </is>
      </c>
      <c r="H48" s="7" t="n">
        <v>10</v>
      </c>
      <c r="I48" s="8" t="n">
        <v>18</v>
      </c>
      <c r="J48" s="7">
        <f>I48-H48</f>
        <v/>
      </c>
      <c r="K48" s="9">
        <f>IF(H48=0,0,J48/H48)</f>
        <v/>
      </c>
      <c r="L48" s="5" t="inlineStr">
        <is>
          <t>Active</t>
        </is>
      </c>
      <c r="M48" s="6" t="n">
        <v>1</v>
      </c>
      <c r="N48" s="5" t="inlineStr">
        <is>
          <t>Popular title: raised to market range</t>
        </is>
      </c>
      <c r="O48" s="10" t="inlineStr">
        <is>
          <t>Open</t>
        </is>
      </c>
    </row>
    <row r="49">
      <c r="A49" s="4" t="n">
        <v>45</v>
      </c>
      <c r="B49" s="5" t="inlineStr">
        <is>
          <t>inFAMOUS Second Son</t>
        </is>
      </c>
      <c r="C49" s="5" t="inlineStr">
        <is>
          <t>PlayStation 4</t>
        </is>
      </c>
      <c r="D49" s="5" t="inlineStr">
        <is>
          <t>Standard</t>
        </is>
      </c>
      <c r="E49" s="5" t="inlineStr">
        <is>
          <t>Used, Good</t>
        </is>
      </c>
      <c r="F49" s="6" t="n">
        <v>2014</v>
      </c>
      <c r="G49" s="5" t="inlineStr">
        <is>
          <t>Action, Open World</t>
        </is>
      </c>
      <c r="H49" s="7" t="n">
        <v>10</v>
      </c>
      <c r="I49" s="8" t="n">
        <v>12</v>
      </c>
      <c r="J49" s="7">
        <f>I49-H49</f>
        <v/>
      </c>
      <c r="K49" s="9">
        <f>IF(H49=0,0,J49/H49)</f>
        <v/>
      </c>
      <c r="L49" s="5" t="inlineStr">
        <is>
          <t>Active</t>
        </is>
      </c>
      <c r="M49" s="6" t="n">
        <v>1</v>
      </c>
      <c r="N49" s="5" t="inlineStr">
        <is>
          <t>Raised to the $12 floor for ordinary titles</t>
        </is>
      </c>
      <c r="O49" s="10" t="inlineStr">
        <is>
          <t>Open</t>
        </is>
      </c>
    </row>
    <row r="50">
      <c r="A50" s="4" t="n">
        <v>46</v>
      </c>
      <c r="B50" s="5" t="inlineStr">
        <is>
          <t>Inside + Limbo</t>
        </is>
      </c>
      <c r="C50" s="5" t="inlineStr">
        <is>
          <t>PlayStation 4</t>
        </is>
      </c>
      <c r="D50" s="5" t="inlineStr">
        <is>
          <t>Standard</t>
        </is>
      </c>
      <c r="E50" s="5" t="inlineStr">
        <is>
          <t>Used, Good</t>
        </is>
      </c>
      <c r="F50" s="6" t="n">
        <v>2017</v>
      </c>
      <c r="G50" s="5" t="inlineStr">
        <is>
          <t>Puzzle, Platformer</t>
        </is>
      </c>
      <c r="H50" s="7" t="n">
        <v>15</v>
      </c>
      <c r="I50" s="8" t="n">
        <v>15</v>
      </c>
      <c r="J50" s="7">
        <f>I50-H50</f>
        <v/>
      </c>
      <c r="K50" s="9">
        <f>IF(H50=0,0,J50/H50)</f>
        <v/>
      </c>
      <c r="L50" s="5" t="inlineStr">
        <is>
          <t>Active</t>
        </is>
      </c>
      <c r="M50" s="6" t="n">
        <v>1</v>
      </c>
      <c r="N50" s="5" t="inlineStr">
        <is>
          <t>Unchanged: already at or above market floor</t>
        </is>
      </c>
      <c r="O50" s="10" t="inlineStr">
        <is>
          <t>Open</t>
        </is>
      </c>
    </row>
    <row r="51">
      <c r="A51" s="4" t="n">
        <v>47</v>
      </c>
      <c r="B51" s="5" t="inlineStr">
        <is>
          <t>It Takes Two</t>
        </is>
      </c>
      <c r="C51" s="5" t="inlineStr">
        <is>
          <t>PlayStation 4</t>
        </is>
      </c>
      <c r="D51" s="5" t="inlineStr">
        <is>
          <t>Standard</t>
        </is>
      </c>
      <c r="E51" s="5" t="inlineStr">
        <is>
          <t>Used, Good</t>
        </is>
      </c>
      <c r="F51" s="6" t="n">
        <v>2021</v>
      </c>
      <c r="G51" s="5" t="inlineStr">
        <is>
          <t>Adventure, Platformer</t>
        </is>
      </c>
      <c r="H51" s="7" t="n">
        <v>22</v>
      </c>
      <c r="I51" s="8" t="n">
        <v>22</v>
      </c>
      <c r="J51" s="7">
        <f>I51-H51</f>
        <v/>
      </c>
      <c r="K51" s="9">
        <f>IF(H51=0,0,J51/H51)</f>
        <v/>
      </c>
      <c r="L51" s="5" t="inlineStr">
        <is>
          <t>Active</t>
        </is>
      </c>
      <c r="M51" s="6" t="n">
        <v>1</v>
      </c>
      <c r="N51" s="5" t="inlineStr">
        <is>
          <t>Unchanged: already at or above market floor</t>
        </is>
      </c>
      <c r="O51" s="10" t="inlineStr">
        <is>
          <t>Open</t>
        </is>
      </c>
    </row>
    <row r="52">
      <c r="A52" s="4" t="n">
        <v>48</v>
      </c>
      <c r="B52" s="5" t="inlineStr">
        <is>
          <t>Just Dance 2017</t>
        </is>
      </c>
      <c r="C52" s="5" t="inlineStr">
        <is>
          <t>PlayStation 4</t>
        </is>
      </c>
      <c r="D52" s="5" t="inlineStr">
        <is>
          <t>Standard</t>
        </is>
      </c>
      <c r="E52" s="5" t="inlineStr">
        <is>
          <t>Used, Good</t>
        </is>
      </c>
      <c r="F52" s="6" t="n">
        <v>2016</v>
      </c>
      <c r="G52" s="5" t="inlineStr">
        <is>
          <t>Simulation</t>
        </is>
      </c>
      <c r="H52" s="7" t="n">
        <v>5</v>
      </c>
      <c r="I52" s="8" t="n">
        <v>6</v>
      </c>
      <c r="J52" s="7">
        <f>I52-H52</f>
        <v/>
      </c>
      <c r="K52" s="9">
        <f>IF(H52=0,0,J52/H52)</f>
        <v/>
      </c>
      <c r="L52" s="5" t="inlineStr">
        <is>
          <t>Active</t>
        </is>
      </c>
      <c r="M52" s="6" t="n">
        <v>1</v>
      </c>
      <c r="N52" s="5" t="inlineStr">
        <is>
          <t>Older/annual/low-demand: small lift</t>
        </is>
      </c>
      <c r="O52" s="10" t="inlineStr">
        <is>
          <t>Open</t>
        </is>
      </c>
    </row>
    <row r="53">
      <c r="A53" s="4" t="n">
        <v>49</v>
      </c>
      <c r="B53" s="5" t="inlineStr">
        <is>
          <t>Kingdom Hearts III</t>
        </is>
      </c>
      <c r="C53" s="5" t="inlineStr">
        <is>
          <t>PlayStation 4</t>
        </is>
      </c>
      <c r="D53" s="5" t="inlineStr">
        <is>
          <t>Standard</t>
        </is>
      </c>
      <c r="E53" s="5" t="inlineStr">
        <is>
          <t>Used, Good</t>
        </is>
      </c>
      <c r="F53" s="6" t="n">
        <v>2019</v>
      </c>
      <c r="G53" s="5" t="inlineStr">
        <is>
          <t>Action, RPG</t>
        </is>
      </c>
      <c r="H53" s="7" t="n">
        <v>10</v>
      </c>
      <c r="I53" s="8" t="n">
        <v>15</v>
      </c>
      <c r="J53" s="7">
        <f>I53-H53</f>
        <v/>
      </c>
      <c r="K53" s="9">
        <f>IF(H53=0,0,J53/H53)</f>
        <v/>
      </c>
      <c r="L53" s="5" t="inlineStr">
        <is>
          <t>Active</t>
        </is>
      </c>
      <c r="M53" s="6" t="n">
        <v>1</v>
      </c>
      <c r="N53" s="5" t="inlineStr">
        <is>
          <t>Popular title: raised to market range</t>
        </is>
      </c>
      <c r="O53" s="10" t="inlineStr">
        <is>
          <t>Open</t>
        </is>
      </c>
    </row>
    <row r="54">
      <c r="A54" s="4" t="n">
        <v>50</v>
      </c>
      <c r="B54" s="5" t="inlineStr">
        <is>
          <t>Knack</t>
        </is>
      </c>
      <c r="C54" s="5" t="inlineStr">
        <is>
          <t>PlayStation 4</t>
        </is>
      </c>
      <c r="D54" s="5" t="inlineStr">
        <is>
          <t>Standard</t>
        </is>
      </c>
      <c r="E54" s="5" t="inlineStr">
        <is>
          <t>Used, Good</t>
        </is>
      </c>
      <c r="F54" s="6" t="n">
        <v>2013</v>
      </c>
      <c r="G54" s="5" t="inlineStr">
        <is>
          <t>Platformer, Action</t>
        </is>
      </c>
      <c r="H54" s="7" t="n">
        <v>10</v>
      </c>
      <c r="I54" s="8" t="n">
        <v>12</v>
      </c>
      <c r="J54" s="7">
        <f>I54-H54</f>
        <v/>
      </c>
      <c r="K54" s="9">
        <f>IF(H54=0,0,J54/H54)</f>
        <v/>
      </c>
      <c r="L54" s="5" t="inlineStr">
        <is>
          <t>Active</t>
        </is>
      </c>
      <c r="M54" s="6" t="n">
        <v>1</v>
      </c>
      <c r="N54" s="5" t="inlineStr">
        <is>
          <t>Raised to the $12 floor for ordinary titles</t>
        </is>
      </c>
      <c r="O54" s="10" t="inlineStr">
        <is>
          <t>Open</t>
        </is>
      </c>
    </row>
    <row r="55">
      <c r="A55" s="4" t="n">
        <v>51</v>
      </c>
      <c r="B55" s="5" t="inlineStr">
        <is>
          <t>LEGO Ninjago Movie Videogame</t>
        </is>
      </c>
      <c r="C55" s="5" t="inlineStr">
        <is>
          <t>PlayStation 4</t>
        </is>
      </c>
      <c r="D55" s="5" t="inlineStr">
        <is>
          <t>Standard</t>
        </is>
      </c>
      <c r="E55" s="5" t="inlineStr">
        <is>
          <t>Used, Good</t>
        </is>
      </c>
      <c r="F55" s="6" t="n">
        <v>2017</v>
      </c>
      <c r="G55" s="5" t="inlineStr">
        <is>
          <t>Adventure</t>
        </is>
      </c>
      <c r="H55" s="7" t="n">
        <v>10</v>
      </c>
      <c r="I55" s="8" t="n">
        <v>12</v>
      </c>
      <c r="J55" s="7">
        <f>I55-H55</f>
        <v/>
      </c>
      <c r="K55" s="9">
        <f>IF(H55=0,0,J55/H55)</f>
        <v/>
      </c>
      <c r="L55" s="5" t="inlineStr">
        <is>
          <t>Active</t>
        </is>
      </c>
      <c r="M55" s="6" t="n">
        <v>1</v>
      </c>
      <c r="N55" s="5" t="inlineStr">
        <is>
          <t>Raised to the $12 floor for ordinary titles</t>
        </is>
      </c>
      <c r="O55" s="10" t="inlineStr">
        <is>
          <t>Open</t>
        </is>
      </c>
    </row>
    <row r="56">
      <c r="A56" s="4" t="n">
        <v>52</v>
      </c>
      <c r="B56" s="5" t="inlineStr">
        <is>
          <t>LEGO The Hobbit</t>
        </is>
      </c>
      <c r="C56" s="5" t="inlineStr">
        <is>
          <t>PlayStation 4</t>
        </is>
      </c>
      <c r="D56" s="5" t="inlineStr">
        <is>
          <t>Standard</t>
        </is>
      </c>
      <c r="E56" s="5" t="inlineStr">
        <is>
          <t>Used, Good</t>
        </is>
      </c>
      <c r="F56" s="6" t="n">
        <v>2014</v>
      </c>
      <c r="G56" s="5" t="inlineStr">
        <is>
          <t>Adventure, Platformer</t>
        </is>
      </c>
      <c r="H56" s="7" t="n">
        <v>10</v>
      </c>
      <c r="I56" s="8" t="n">
        <v>12</v>
      </c>
      <c r="J56" s="7">
        <f>I56-H56</f>
        <v/>
      </c>
      <c r="K56" s="9">
        <f>IF(H56=0,0,J56/H56)</f>
        <v/>
      </c>
      <c r="L56" s="5" t="inlineStr">
        <is>
          <t>Active</t>
        </is>
      </c>
      <c r="M56" s="6" t="n">
        <v>1</v>
      </c>
      <c r="N56" s="5" t="inlineStr">
        <is>
          <t>Raised to the $12 floor for ordinary titles</t>
        </is>
      </c>
      <c r="O56" s="10" t="inlineStr">
        <is>
          <t>Open</t>
        </is>
      </c>
    </row>
    <row r="57">
      <c r="A57" s="4" t="n">
        <v>53</v>
      </c>
      <c r="B57" s="5" t="inlineStr">
        <is>
          <t>Little Nightmares Complete Edition</t>
        </is>
      </c>
      <c r="C57" s="5" t="inlineStr">
        <is>
          <t>PlayStation 4</t>
        </is>
      </c>
      <c r="D57" s="5" t="inlineStr">
        <is>
          <t>Standard</t>
        </is>
      </c>
      <c r="E57" s="5" t="inlineStr">
        <is>
          <t>Used, Good</t>
        </is>
      </c>
      <c r="F57" s="6" t="n">
        <v>2017</v>
      </c>
      <c r="G57" s="5" t="inlineStr">
        <is>
          <t>Puzzle, Horror</t>
        </is>
      </c>
      <c r="H57" s="7" t="n">
        <v>18</v>
      </c>
      <c r="I57" s="8" t="n">
        <v>18</v>
      </c>
      <c r="J57" s="7">
        <f>I57-H57</f>
        <v/>
      </c>
      <c r="K57" s="9">
        <f>IF(H57=0,0,J57/H57)</f>
        <v/>
      </c>
      <c r="L57" s="5" t="inlineStr">
        <is>
          <t>Active</t>
        </is>
      </c>
      <c r="M57" s="6" t="n">
        <v>1</v>
      </c>
      <c r="N57" s="5" t="inlineStr">
        <is>
          <t>Unchanged: already at or above market floor</t>
        </is>
      </c>
      <c r="O57" s="10" t="inlineStr">
        <is>
          <t>Open</t>
        </is>
      </c>
    </row>
    <row r="58">
      <c r="A58" s="4" t="n">
        <v>54</v>
      </c>
      <c r="B58" s="5" t="inlineStr">
        <is>
          <t>LittleBigPlanet 3</t>
        </is>
      </c>
      <c r="C58" s="5" t="inlineStr">
        <is>
          <t>PlayStation 4</t>
        </is>
      </c>
      <c r="D58" s="5" t="inlineStr">
        <is>
          <t>Standard</t>
        </is>
      </c>
      <c r="E58" s="5" t="inlineStr">
        <is>
          <t>Used, Good</t>
        </is>
      </c>
      <c r="F58" s="6" t="n">
        <v>2014</v>
      </c>
      <c r="G58" s="5" t="inlineStr">
        <is>
          <t>Platformer</t>
        </is>
      </c>
      <c r="H58" s="7" t="n">
        <v>12</v>
      </c>
      <c r="I58" s="8" t="n">
        <v>13</v>
      </c>
      <c r="J58" s="7">
        <f>I58-H58</f>
        <v/>
      </c>
      <c r="K58" s="9">
        <f>IF(H58=0,0,J58/H58)</f>
        <v/>
      </c>
      <c r="L58" s="5" t="inlineStr">
        <is>
          <t>Active</t>
        </is>
      </c>
      <c r="M58" s="6" t="n">
        <v>1</v>
      </c>
      <c r="N58" s="5" t="inlineStr">
        <is>
          <t>Popular title: raised to market range</t>
        </is>
      </c>
      <c r="O58" s="10" t="inlineStr">
        <is>
          <t>Open</t>
        </is>
      </c>
    </row>
    <row r="59">
      <c r="A59" s="4" t="n">
        <v>55</v>
      </c>
      <c r="B59" s="5" t="inlineStr">
        <is>
          <t>Mad Max</t>
        </is>
      </c>
      <c r="C59" s="5" t="inlineStr">
        <is>
          <t>PlayStation 4</t>
        </is>
      </c>
      <c r="D59" s="5" t="inlineStr">
        <is>
          <t>Standard</t>
        </is>
      </c>
      <c r="E59" s="5" t="inlineStr">
        <is>
          <t>Used, Good</t>
        </is>
      </c>
      <c r="F59" s="6" t="n">
        <v>2015</v>
      </c>
      <c r="G59" s="5" t="inlineStr">
        <is>
          <t>Action, Open World</t>
        </is>
      </c>
      <c r="H59" s="7" t="n">
        <v>10</v>
      </c>
      <c r="I59" s="8" t="n">
        <v>12</v>
      </c>
      <c r="J59" s="7">
        <f>I59-H59</f>
        <v/>
      </c>
      <c r="K59" s="9">
        <f>IF(H59=0,0,J59/H59)</f>
        <v/>
      </c>
      <c r="L59" s="5" t="inlineStr">
        <is>
          <t>Active</t>
        </is>
      </c>
      <c r="M59" s="6" t="n">
        <v>1</v>
      </c>
      <c r="N59" s="5" t="inlineStr">
        <is>
          <t>Raised to the $12 floor for ordinary titles</t>
        </is>
      </c>
      <c r="O59" s="10" t="inlineStr">
        <is>
          <t>Open</t>
        </is>
      </c>
    </row>
    <row r="60">
      <c r="A60" s="4" t="n">
        <v>56</v>
      </c>
      <c r="B60" s="5" t="inlineStr">
        <is>
          <t>Mafia III</t>
        </is>
      </c>
      <c r="C60" s="5" t="inlineStr">
        <is>
          <t>PlayStation 4</t>
        </is>
      </c>
      <c r="D60" s="5" t="inlineStr">
        <is>
          <t>Standard</t>
        </is>
      </c>
      <c r="E60" s="5" t="inlineStr">
        <is>
          <t>Used, Good</t>
        </is>
      </c>
      <c r="F60" s="6" t="n">
        <v>2016</v>
      </c>
      <c r="G60" s="5" t="inlineStr">
        <is>
          <t>Action, Open World</t>
        </is>
      </c>
      <c r="H60" s="7" t="n">
        <v>8</v>
      </c>
      <c r="I60" s="8" t="n">
        <v>10</v>
      </c>
      <c r="J60" s="7">
        <f>I60-H60</f>
        <v/>
      </c>
      <c r="K60" s="9">
        <f>IF(H60=0,0,J60/H60)</f>
        <v/>
      </c>
      <c r="L60" s="5" t="inlineStr">
        <is>
          <t>Active</t>
        </is>
      </c>
      <c r="M60" s="6" t="n">
        <v>1</v>
      </c>
      <c r="N60" s="5" t="inlineStr">
        <is>
          <t>Older/annual/low-demand: small lift</t>
        </is>
      </c>
      <c r="O60" s="10" t="inlineStr">
        <is>
          <t>Open</t>
        </is>
      </c>
    </row>
    <row r="61">
      <c r="A61" s="4" t="n">
        <v>57</v>
      </c>
      <c r="B61" s="5" t="inlineStr">
        <is>
          <t>Mark McMorris Infinite Air</t>
        </is>
      </c>
      <c r="C61" s="5" t="inlineStr">
        <is>
          <t>PlayStation 4</t>
        </is>
      </c>
      <c r="D61" s="5" t="inlineStr">
        <is>
          <t>Standard</t>
        </is>
      </c>
      <c r="E61" s="5" t="inlineStr">
        <is>
          <t>Used, Good</t>
        </is>
      </c>
      <c r="F61" s="6" t="n">
        <v>2016</v>
      </c>
      <c r="G61" s="5" t="inlineStr">
        <is>
          <t>Sports</t>
        </is>
      </c>
      <c r="H61" s="7" t="n">
        <v>8</v>
      </c>
      <c r="I61" s="8" t="n">
        <v>8</v>
      </c>
      <c r="J61" s="7">
        <f>I61-H61</f>
        <v/>
      </c>
      <c r="K61" s="9">
        <f>IF(H61=0,0,J61/H61)</f>
        <v/>
      </c>
      <c r="L61" s="5" t="inlineStr">
        <is>
          <t>Active</t>
        </is>
      </c>
      <c r="M61" s="6" t="n">
        <v>1</v>
      </c>
      <c r="N61" s="5" t="inlineStr">
        <is>
          <t>Older/annual/low-demand: unchanged</t>
        </is>
      </c>
      <c r="O61" s="10" t="inlineStr">
        <is>
          <t>Open</t>
        </is>
      </c>
    </row>
    <row r="62">
      <c r="A62" s="4" t="n">
        <v>58</v>
      </c>
      <c r="B62" s="5" t="inlineStr">
        <is>
          <t>Marvel's Avengers</t>
        </is>
      </c>
      <c r="C62" s="5" t="inlineStr">
        <is>
          <t>PlayStation 4</t>
        </is>
      </c>
      <c r="D62" s="5" t="inlineStr">
        <is>
          <t>Standard</t>
        </is>
      </c>
      <c r="E62" s="5" t="inlineStr">
        <is>
          <t>Used, Good</t>
        </is>
      </c>
      <c r="F62" s="6" t="n">
        <v>2020</v>
      </c>
      <c r="G62" s="5" t="inlineStr">
        <is>
          <t>Action</t>
        </is>
      </c>
      <c r="H62" s="7" t="n">
        <v>8</v>
      </c>
      <c r="I62" s="8" t="n">
        <v>10</v>
      </c>
      <c r="J62" s="7">
        <f>I62-H62</f>
        <v/>
      </c>
      <c r="K62" s="9">
        <f>IF(H62=0,0,J62/H62)</f>
        <v/>
      </c>
      <c r="L62" s="5" t="inlineStr">
        <is>
          <t>Active</t>
        </is>
      </c>
      <c r="M62" s="6" t="n">
        <v>1</v>
      </c>
      <c r="N62" s="5" t="inlineStr">
        <is>
          <t>Older/annual/low-demand: small lift</t>
        </is>
      </c>
      <c r="O62" s="10" t="inlineStr">
        <is>
          <t>Open</t>
        </is>
      </c>
    </row>
    <row r="63">
      <c r="A63" s="4" t="n">
        <v>59</v>
      </c>
      <c r="B63" s="5" t="inlineStr">
        <is>
          <t>Marvel's Spider-Man</t>
        </is>
      </c>
      <c r="C63" s="5" t="inlineStr">
        <is>
          <t>PlayStation 4</t>
        </is>
      </c>
      <c r="D63" s="5" t="inlineStr">
        <is>
          <t>Standard</t>
        </is>
      </c>
      <c r="E63" s="5" t="inlineStr">
        <is>
          <t>Used, Good</t>
        </is>
      </c>
      <c r="F63" s="6" t="n">
        <v>2018</v>
      </c>
      <c r="G63" s="5" t="inlineStr">
        <is>
          <t>Action, Open World</t>
        </is>
      </c>
      <c r="H63" s="7" t="n">
        <v>15</v>
      </c>
      <c r="I63" s="8" t="n">
        <v>20</v>
      </c>
      <c r="J63" s="7">
        <f>I63-H63</f>
        <v/>
      </c>
      <c r="K63" s="9">
        <f>IF(H63=0,0,J63/H63)</f>
        <v/>
      </c>
      <c r="L63" s="5" t="inlineStr">
        <is>
          <t>Active</t>
        </is>
      </c>
      <c r="M63" s="6" t="n">
        <v>1</v>
      </c>
      <c r="N63" s="5" t="inlineStr">
        <is>
          <t>Popular title: raised to market range</t>
        </is>
      </c>
      <c r="O63" s="10" t="inlineStr">
        <is>
          <t>Open</t>
        </is>
      </c>
    </row>
    <row r="64">
      <c r="A64" s="4" t="n">
        <v>60</v>
      </c>
      <c r="B64" s="5" t="inlineStr">
        <is>
          <t>Max: The Curse of Brotherhood</t>
        </is>
      </c>
      <c r="C64" s="5" t="inlineStr">
        <is>
          <t>PlayStation 4</t>
        </is>
      </c>
      <c r="D64" s="5" t="inlineStr">
        <is>
          <t>Standard</t>
        </is>
      </c>
      <c r="E64" s="5" t="inlineStr">
        <is>
          <t>Used, Good</t>
        </is>
      </c>
      <c r="F64" s="6" t="n">
        <v>2017</v>
      </c>
      <c r="G64" s="5" t="inlineStr">
        <is>
          <t>Platformer, Puzzle</t>
        </is>
      </c>
      <c r="H64" s="7" t="n">
        <v>10</v>
      </c>
      <c r="I64" s="8" t="n">
        <v>12</v>
      </c>
      <c r="J64" s="7">
        <f>I64-H64</f>
        <v/>
      </c>
      <c r="K64" s="9">
        <f>IF(H64=0,0,J64/H64)</f>
        <v/>
      </c>
      <c r="L64" s="5" t="inlineStr">
        <is>
          <t>Active</t>
        </is>
      </c>
      <c r="M64" s="6" t="n">
        <v>1</v>
      </c>
      <c r="N64" s="5" t="inlineStr">
        <is>
          <t>Raised to the $12 floor for ordinary titles</t>
        </is>
      </c>
      <c r="O64" s="10" t="inlineStr">
        <is>
          <t>Open</t>
        </is>
      </c>
    </row>
    <row r="65">
      <c r="A65" s="4" t="n">
        <v>61</v>
      </c>
      <c r="B65" s="5" t="inlineStr">
        <is>
          <t>Metal Gear Solid V: The Definitive Experience</t>
        </is>
      </c>
      <c r="C65" s="5" t="inlineStr">
        <is>
          <t>PlayStation 4</t>
        </is>
      </c>
      <c r="D65" s="5" t="inlineStr">
        <is>
          <t>Standard</t>
        </is>
      </c>
      <c r="E65" s="5" t="inlineStr">
        <is>
          <t>Used, Good</t>
        </is>
      </c>
      <c r="F65" s="6" t="n">
        <v>2016</v>
      </c>
      <c r="G65" s="5" t="inlineStr">
        <is>
          <t>Action, Open World</t>
        </is>
      </c>
      <c r="H65" s="7" t="n">
        <v>12</v>
      </c>
      <c r="I65" s="8" t="n">
        <v>14</v>
      </c>
      <c r="J65" s="7">
        <f>I65-H65</f>
        <v/>
      </c>
      <c r="K65" s="9">
        <f>IF(H65=0,0,J65/H65)</f>
        <v/>
      </c>
      <c r="L65" s="5" t="inlineStr">
        <is>
          <t>Active</t>
        </is>
      </c>
      <c r="M65" s="6" t="n">
        <v>1</v>
      </c>
      <c r="N65" s="5" t="inlineStr">
        <is>
          <t>Popular title: raised to market range</t>
        </is>
      </c>
      <c r="O65" s="10" t="inlineStr">
        <is>
          <t>Open</t>
        </is>
      </c>
    </row>
    <row r="66">
      <c r="A66" s="4" t="n">
        <v>62</v>
      </c>
      <c r="B66" s="5" t="inlineStr">
        <is>
          <t>Metal Gear Survive</t>
        </is>
      </c>
      <c r="C66" s="5" t="inlineStr">
        <is>
          <t>PlayStation 4</t>
        </is>
      </c>
      <c r="D66" s="5" t="inlineStr">
        <is>
          <t>Standard</t>
        </is>
      </c>
      <c r="E66" s="5" t="inlineStr">
        <is>
          <t>Used, Good</t>
        </is>
      </c>
      <c r="F66" s="6" t="n">
        <v>2018</v>
      </c>
      <c r="G66" s="5" t="inlineStr">
        <is>
          <t>Action</t>
        </is>
      </c>
      <c r="H66" s="7" t="n">
        <v>6</v>
      </c>
      <c r="I66" s="8" t="n">
        <v>8</v>
      </c>
      <c r="J66" s="7">
        <f>I66-H66</f>
        <v/>
      </c>
      <c r="K66" s="9">
        <f>IF(H66=0,0,J66/H66)</f>
        <v/>
      </c>
      <c r="L66" s="5" t="inlineStr">
        <is>
          <t>Active</t>
        </is>
      </c>
      <c r="M66" s="6" t="n">
        <v>1</v>
      </c>
      <c r="N66" s="5" t="inlineStr">
        <is>
          <t>Older/annual/low-demand: small lift</t>
        </is>
      </c>
      <c r="O66" s="10" t="inlineStr">
        <is>
          <t>Open</t>
        </is>
      </c>
    </row>
    <row r="67">
      <c r="A67" s="4" t="n">
        <v>63</v>
      </c>
      <c r="B67" s="5" t="inlineStr">
        <is>
          <t>Middle-earth: Shadow of War</t>
        </is>
      </c>
      <c r="C67" s="5" t="inlineStr">
        <is>
          <t>PlayStation 4</t>
        </is>
      </c>
      <c r="D67" s="5" t="inlineStr">
        <is>
          <t>Standard</t>
        </is>
      </c>
      <c r="E67" s="5" t="inlineStr">
        <is>
          <t>Used, Good</t>
        </is>
      </c>
      <c r="F67" s="6" t="n">
        <v>2017</v>
      </c>
      <c r="G67" s="5" t="inlineStr">
        <is>
          <t>Action, RPG, Open World</t>
        </is>
      </c>
      <c r="H67" s="7" t="n">
        <v>10</v>
      </c>
      <c r="I67" s="8" t="n">
        <v>12</v>
      </c>
      <c r="J67" s="7">
        <f>I67-H67</f>
        <v/>
      </c>
      <c r="K67" s="9">
        <f>IF(H67=0,0,J67/H67)</f>
        <v/>
      </c>
      <c r="L67" s="5" t="inlineStr">
        <is>
          <t>Active</t>
        </is>
      </c>
      <c r="M67" s="6" t="n">
        <v>1</v>
      </c>
      <c r="N67" s="5" t="inlineStr">
        <is>
          <t>Raised to the $12 floor for ordinary titles</t>
        </is>
      </c>
      <c r="O67" s="10" t="inlineStr">
        <is>
          <t>Open</t>
        </is>
      </c>
    </row>
    <row r="68">
      <c r="A68" s="4" t="n">
        <v>64</v>
      </c>
      <c r="B68" s="5" t="inlineStr">
        <is>
          <t>Mirror's Edge Catalyst</t>
        </is>
      </c>
      <c r="C68" s="5" t="inlineStr">
        <is>
          <t>PlayStation 4</t>
        </is>
      </c>
      <c r="D68" s="5" t="inlineStr">
        <is>
          <t>Standard</t>
        </is>
      </c>
      <c r="E68" s="5" t="inlineStr">
        <is>
          <t>Used, Good</t>
        </is>
      </c>
      <c r="F68" s="6" t="n">
        <v>2016</v>
      </c>
      <c r="G68" s="5" t="inlineStr">
        <is>
          <t>Action, Adventure</t>
        </is>
      </c>
      <c r="H68" s="7" t="n">
        <v>10</v>
      </c>
      <c r="I68" s="8" t="n">
        <v>12</v>
      </c>
      <c r="J68" s="7">
        <f>I68-H68</f>
        <v/>
      </c>
      <c r="K68" s="9">
        <f>IF(H68=0,0,J68/H68)</f>
        <v/>
      </c>
      <c r="L68" s="5" t="inlineStr">
        <is>
          <t>Active</t>
        </is>
      </c>
      <c r="M68" s="6" t="n">
        <v>1</v>
      </c>
      <c r="N68" s="5" t="inlineStr">
        <is>
          <t>Raised to the $12 floor for ordinary titles</t>
        </is>
      </c>
      <c r="O68" s="10" t="inlineStr">
        <is>
          <t>Open</t>
        </is>
      </c>
    </row>
    <row r="69">
      <c r="A69" s="4" t="n">
        <v>65</v>
      </c>
      <c r="B69" s="5" t="inlineStr">
        <is>
          <t>Monster Hunter: World</t>
        </is>
      </c>
      <c r="C69" s="5" t="inlineStr">
        <is>
          <t>PlayStation 4</t>
        </is>
      </c>
      <c r="D69" s="5" t="inlineStr">
        <is>
          <t>Standard</t>
        </is>
      </c>
      <c r="E69" s="5" t="inlineStr">
        <is>
          <t>Used, Good</t>
        </is>
      </c>
      <c r="F69" s="6" t="n">
        <v>2018</v>
      </c>
      <c r="G69" s="5" t="inlineStr">
        <is>
          <t>Action, RPG</t>
        </is>
      </c>
      <c r="H69" s="7" t="n">
        <v>12</v>
      </c>
      <c r="I69" s="8" t="n">
        <v>16</v>
      </c>
      <c r="J69" s="7">
        <f>I69-H69</f>
        <v/>
      </c>
      <c r="K69" s="9">
        <f>IF(H69=0,0,J69/H69)</f>
        <v/>
      </c>
      <c r="L69" s="5" t="inlineStr">
        <is>
          <t>Active</t>
        </is>
      </c>
      <c r="M69" s="6" t="n">
        <v>1</v>
      </c>
      <c r="N69" s="5" t="inlineStr">
        <is>
          <t>Popular title: raised to market range</t>
        </is>
      </c>
      <c r="O69" s="10" t="inlineStr">
        <is>
          <t>Open</t>
        </is>
      </c>
    </row>
    <row r="70">
      <c r="A70" s="4" t="n">
        <v>66</v>
      </c>
      <c r="B70" s="5" t="inlineStr">
        <is>
          <t>Mortal Kombat XL</t>
        </is>
      </c>
      <c r="C70" s="5" t="inlineStr">
        <is>
          <t>PlayStation 4</t>
        </is>
      </c>
      <c r="D70" s="5" t="inlineStr">
        <is>
          <t>Standard</t>
        </is>
      </c>
      <c r="E70" s="5" t="inlineStr">
        <is>
          <t>Used, Good</t>
        </is>
      </c>
      <c r="F70" s="6" t="n">
        <v>2016</v>
      </c>
      <c r="G70" s="5" t="inlineStr">
        <is>
          <t>Fighting</t>
        </is>
      </c>
      <c r="H70" s="7" t="n">
        <v>12</v>
      </c>
      <c r="I70" s="8" t="n">
        <v>12</v>
      </c>
      <c r="J70" s="7">
        <f>I70-H70</f>
        <v/>
      </c>
      <c r="K70" s="9">
        <f>IF(H70=0,0,J70/H70)</f>
        <v/>
      </c>
      <c r="L70" s="5" t="inlineStr">
        <is>
          <t>Active</t>
        </is>
      </c>
      <c r="M70" s="6" t="n">
        <v>1</v>
      </c>
      <c r="N70" s="5" t="inlineStr">
        <is>
          <t>Unchanged: already at or above market floor</t>
        </is>
      </c>
      <c r="O70" s="10" t="inlineStr">
        <is>
          <t>Open</t>
        </is>
      </c>
    </row>
    <row r="71">
      <c r="A71" s="4" t="n">
        <v>67</v>
      </c>
      <c r="B71" s="5" t="inlineStr">
        <is>
          <t>Need for Speed Payback</t>
        </is>
      </c>
      <c r="C71" s="5" t="inlineStr">
        <is>
          <t>PlayStation 4</t>
        </is>
      </c>
      <c r="D71" s="5" t="inlineStr">
        <is>
          <t>Standard</t>
        </is>
      </c>
      <c r="E71" s="5" t="inlineStr">
        <is>
          <t>Used, Good</t>
        </is>
      </c>
      <c r="F71" s="6" t="n">
        <v>2017</v>
      </c>
      <c r="G71" s="5" t="inlineStr">
        <is>
          <t>Racing</t>
        </is>
      </c>
      <c r="H71" s="7" t="n">
        <v>8</v>
      </c>
      <c r="I71" s="8" t="n">
        <v>10</v>
      </c>
      <c r="J71" s="7">
        <f>I71-H71</f>
        <v/>
      </c>
      <c r="K71" s="9">
        <f>IF(H71=0,0,J71/H71)</f>
        <v/>
      </c>
      <c r="L71" s="5" t="inlineStr">
        <is>
          <t>Active</t>
        </is>
      </c>
      <c r="M71" s="6" t="n">
        <v>1</v>
      </c>
      <c r="N71" s="5" t="inlineStr">
        <is>
          <t>Older/annual/low-demand: small lift</t>
        </is>
      </c>
      <c r="O71" s="10" t="inlineStr">
        <is>
          <t>Open</t>
        </is>
      </c>
    </row>
    <row r="72">
      <c r="A72" s="4" t="n">
        <v>68</v>
      </c>
      <c r="B72" s="5" t="inlineStr">
        <is>
          <t>NieR: Automata</t>
        </is>
      </c>
      <c r="C72" s="5" t="inlineStr">
        <is>
          <t>PlayStation 4</t>
        </is>
      </c>
      <c r="D72" s="5" t="inlineStr">
        <is>
          <t>Standard</t>
        </is>
      </c>
      <c r="E72" s="5" t="inlineStr">
        <is>
          <t>Used, Good</t>
        </is>
      </c>
      <c r="F72" s="6" t="n">
        <v>2017</v>
      </c>
      <c r="G72" s="5" t="inlineStr">
        <is>
          <t>Action, RPG</t>
        </is>
      </c>
      <c r="H72" s="7" t="n">
        <v>18</v>
      </c>
      <c r="I72" s="8" t="n">
        <v>18</v>
      </c>
      <c r="J72" s="7">
        <f>I72-H72</f>
        <v/>
      </c>
      <c r="K72" s="9">
        <f>IF(H72=0,0,J72/H72)</f>
        <v/>
      </c>
      <c r="L72" s="5" t="inlineStr">
        <is>
          <t>Active</t>
        </is>
      </c>
      <c r="M72" s="6" t="n">
        <v>1</v>
      </c>
      <c r="N72" s="5" t="inlineStr">
        <is>
          <t>Unchanged: already at or above market floor</t>
        </is>
      </c>
      <c r="O72" s="10" t="inlineStr">
        <is>
          <t>Open</t>
        </is>
      </c>
    </row>
    <row r="73">
      <c r="A73" s="4" t="n">
        <v>69</v>
      </c>
      <c r="B73" s="5" t="inlineStr">
        <is>
          <t>Nioh</t>
        </is>
      </c>
      <c r="C73" s="5" t="inlineStr">
        <is>
          <t>PlayStation 4</t>
        </is>
      </c>
      <c r="D73" s="5" t="inlineStr">
        <is>
          <t>Standard</t>
        </is>
      </c>
      <c r="E73" s="5" t="inlineStr">
        <is>
          <t>Used, Good</t>
        </is>
      </c>
      <c r="F73" s="6" t="n">
        <v>2017</v>
      </c>
      <c r="G73" s="5" t="inlineStr">
        <is>
          <t>Action, RPG</t>
        </is>
      </c>
      <c r="H73" s="7" t="n">
        <v>12</v>
      </c>
      <c r="I73" s="8" t="n">
        <v>14</v>
      </c>
      <c r="J73" s="7">
        <f>I73-H73</f>
        <v/>
      </c>
      <c r="K73" s="9">
        <f>IF(H73=0,0,J73/H73)</f>
        <v/>
      </c>
      <c r="L73" s="5" t="inlineStr">
        <is>
          <t>Active</t>
        </is>
      </c>
      <c r="M73" s="6" t="n">
        <v>1</v>
      </c>
      <c r="N73" s="5" t="inlineStr">
        <is>
          <t>Popular title: raised to market range</t>
        </is>
      </c>
      <c r="O73" s="10" t="inlineStr">
        <is>
          <t>Open</t>
        </is>
      </c>
    </row>
    <row r="74">
      <c r="A74" s="4" t="n">
        <v>70</v>
      </c>
      <c r="B74" s="5" t="inlineStr">
        <is>
          <t>Nioh 2</t>
        </is>
      </c>
      <c r="C74" s="5" t="inlineStr">
        <is>
          <t>PlayStation 4</t>
        </is>
      </c>
      <c r="D74" s="5" t="inlineStr">
        <is>
          <t>Standard</t>
        </is>
      </c>
      <c r="E74" s="5" t="inlineStr">
        <is>
          <t>Used, Good</t>
        </is>
      </c>
      <c r="F74" s="6" t="n">
        <v>2020</v>
      </c>
      <c r="G74" s="5" t="inlineStr">
        <is>
          <t>Action, RPG</t>
        </is>
      </c>
      <c r="H74" s="7" t="n">
        <v>15</v>
      </c>
      <c r="I74" s="8" t="n">
        <v>16</v>
      </c>
      <c r="J74" s="7">
        <f>I74-H74</f>
        <v/>
      </c>
      <c r="K74" s="9">
        <f>IF(H74=0,0,J74/H74)</f>
        <v/>
      </c>
      <c r="L74" s="5" t="inlineStr">
        <is>
          <t>Active</t>
        </is>
      </c>
      <c r="M74" s="6" t="n">
        <v>1</v>
      </c>
      <c r="N74" s="5" t="inlineStr">
        <is>
          <t>Popular title: raised to market range</t>
        </is>
      </c>
      <c r="O74" s="10" t="inlineStr">
        <is>
          <t>Open</t>
        </is>
      </c>
    </row>
    <row r="75">
      <c r="A75" s="4" t="n">
        <v>71</v>
      </c>
      <c r="B75" s="5" t="inlineStr">
        <is>
          <t>Prey</t>
        </is>
      </c>
      <c r="C75" s="5" t="inlineStr">
        <is>
          <t>PlayStation 4</t>
        </is>
      </c>
      <c r="D75" s="5" t="inlineStr">
        <is>
          <t>Standard</t>
        </is>
      </c>
      <c r="E75" s="5" t="inlineStr">
        <is>
          <t>Used, Good</t>
        </is>
      </c>
      <c r="F75" s="6" t="n">
        <v>2017</v>
      </c>
      <c r="G75" s="5" t="inlineStr">
        <is>
          <t>Shooter, Horror</t>
        </is>
      </c>
      <c r="H75" s="7" t="n">
        <v>12</v>
      </c>
      <c r="I75" s="8" t="n">
        <v>12</v>
      </c>
      <c r="J75" s="7">
        <f>I75-H75</f>
        <v/>
      </c>
      <c r="K75" s="9">
        <f>IF(H75=0,0,J75/H75)</f>
        <v/>
      </c>
      <c r="L75" s="5" t="inlineStr">
        <is>
          <t>Active</t>
        </is>
      </c>
      <c r="M75" s="6" t="n">
        <v>1</v>
      </c>
      <c r="N75" s="5" t="inlineStr">
        <is>
          <t>Unchanged: already at or above market floor</t>
        </is>
      </c>
      <c r="O75" s="10" t="inlineStr">
        <is>
          <t>Open</t>
        </is>
      </c>
    </row>
    <row r="76">
      <c r="A76" s="4" t="n">
        <v>72</v>
      </c>
      <c r="B76" s="5" t="inlineStr">
        <is>
          <t>Project Cars</t>
        </is>
      </c>
      <c r="C76" s="5" t="inlineStr">
        <is>
          <t>PlayStation 4</t>
        </is>
      </c>
      <c r="D76" s="5" t="inlineStr">
        <is>
          <t>Standard</t>
        </is>
      </c>
      <c r="E76" s="5" t="inlineStr">
        <is>
          <t>Used, Good</t>
        </is>
      </c>
      <c r="F76" s="6" t="n">
        <v>2015</v>
      </c>
      <c r="G76" s="5" t="inlineStr">
        <is>
          <t>Racing</t>
        </is>
      </c>
      <c r="H76" s="7" t="n">
        <v>8</v>
      </c>
      <c r="I76" s="8" t="n">
        <v>10</v>
      </c>
      <c r="J76" s="7">
        <f>I76-H76</f>
        <v/>
      </c>
      <c r="K76" s="9">
        <f>IF(H76=0,0,J76/H76)</f>
        <v/>
      </c>
      <c r="L76" s="5" t="inlineStr">
        <is>
          <t>Active</t>
        </is>
      </c>
      <c r="M76" s="6" t="n">
        <v>1</v>
      </c>
      <c r="N76" s="5" t="inlineStr">
        <is>
          <t>Older/annual/low-demand: small lift</t>
        </is>
      </c>
      <c r="O76" s="10" t="inlineStr">
        <is>
          <t>Open</t>
        </is>
      </c>
    </row>
    <row r="77">
      <c r="A77" s="4" t="n">
        <v>73</v>
      </c>
      <c r="B77" s="5" t="inlineStr">
        <is>
          <t>Rage 2</t>
        </is>
      </c>
      <c r="C77" s="5" t="inlineStr">
        <is>
          <t>PlayStation 4</t>
        </is>
      </c>
      <c r="D77" s="5" t="inlineStr">
        <is>
          <t>Standard</t>
        </is>
      </c>
      <c r="E77" s="5" t="inlineStr">
        <is>
          <t>Used, Good</t>
        </is>
      </c>
      <c r="F77" s="6" t="n">
        <v>2019</v>
      </c>
      <c r="G77" s="5" t="inlineStr">
        <is>
          <t>Shooter, Open World</t>
        </is>
      </c>
      <c r="H77" s="7" t="n">
        <v>8</v>
      </c>
      <c r="I77" s="8" t="n">
        <v>10</v>
      </c>
      <c r="J77" s="7">
        <f>I77-H77</f>
        <v/>
      </c>
      <c r="K77" s="9">
        <f>IF(H77=0,0,J77/H77)</f>
        <v/>
      </c>
      <c r="L77" s="5" t="inlineStr">
        <is>
          <t>Active</t>
        </is>
      </c>
      <c r="M77" s="6" t="n">
        <v>1</v>
      </c>
      <c r="N77" s="5" t="inlineStr">
        <is>
          <t>Older/annual/low-demand: small lift</t>
        </is>
      </c>
      <c r="O77" s="10" t="inlineStr">
        <is>
          <t>Open</t>
        </is>
      </c>
    </row>
    <row r="78">
      <c r="A78" s="4" t="n">
        <v>74</v>
      </c>
      <c r="B78" s="5" t="inlineStr">
        <is>
          <t>Ratchet &amp; Clank</t>
        </is>
      </c>
      <c r="C78" s="5" t="inlineStr">
        <is>
          <t>PlayStation 4</t>
        </is>
      </c>
      <c r="D78" s="5" t="inlineStr">
        <is>
          <t>Standard</t>
        </is>
      </c>
      <c r="E78" s="5" t="inlineStr">
        <is>
          <t>Used, Good</t>
        </is>
      </c>
      <c r="F78" s="6" t="n">
        <v>2016</v>
      </c>
      <c r="G78" s="5" t="inlineStr">
        <is>
          <t>Action, Platformer</t>
        </is>
      </c>
      <c r="H78" s="7" t="n">
        <v>10</v>
      </c>
      <c r="I78" s="8" t="n">
        <v>15</v>
      </c>
      <c r="J78" s="7">
        <f>I78-H78</f>
        <v/>
      </c>
      <c r="K78" s="9">
        <f>IF(H78=0,0,J78/H78)</f>
        <v/>
      </c>
      <c r="L78" s="5" t="inlineStr">
        <is>
          <t>Active</t>
        </is>
      </c>
      <c r="M78" s="6" t="n">
        <v>1</v>
      </c>
      <c r="N78" s="5" t="inlineStr">
        <is>
          <t>Popular title: raised to market range</t>
        </is>
      </c>
      <c r="O78" s="10" t="inlineStr">
        <is>
          <t>Open</t>
        </is>
      </c>
    </row>
    <row r="79">
      <c r="A79" s="4" t="n">
        <v>75</v>
      </c>
      <c r="B79" s="5" t="inlineStr">
        <is>
          <t>Rayman Legends</t>
        </is>
      </c>
      <c r="C79" s="5" t="inlineStr">
        <is>
          <t>PlayStation 4</t>
        </is>
      </c>
      <c r="D79" s="5" t="inlineStr">
        <is>
          <t>Standard</t>
        </is>
      </c>
      <c r="E79" s="5" t="inlineStr">
        <is>
          <t>Used, Good</t>
        </is>
      </c>
      <c r="F79" s="6" t="n">
        <v>2013</v>
      </c>
      <c r="G79" s="5" t="inlineStr">
        <is>
          <t>Platformer</t>
        </is>
      </c>
      <c r="H79" s="7" t="n">
        <v>12</v>
      </c>
      <c r="I79" s="8" t="n">
        <v>12</v>
      </c>
      <c r="J79" s="7">
        <f>I79-H79</f>
        <v/>
      </c>
      <c r="K79" s="9">
        <f>IF(H79=0,0,J79/H79)</f>
        <v/>
      </c>
      <c r="L79" s="5" t="inlineStr">
        <is>
          <t>Active</t>
        </is>
      </c>
      <c r="M79" s="6" t="n">
        <v>1</v>
      </c>
      <c r="N79" s="5" t="inlineStr">
        <is>
          <t>Unchanged: already at or above market floor</t>
        </is>
      </c>
      <c r="O79" s="10" t="inlineStr">
        <is>
          <t>Open</t>
        </is>
      </c>
    </row>
    <row r="80">
      <c r="A80" s="4" t="n">
        <v>76</v>
      </c>
      <c r="B80" s="5" t="inlineStr">
        <is>
          <t>Red Dead Redemption II</t>
        </is>
      </c>
      <c r="C80" s="5" t="inlineStr">
        <is>
          <t>PlayStation 4</t>
        </is>
      </c>
      <c r="D80" s="5" t="inlineStr">
        <is>
          <t>Standard</t>
        </is>
      </c>
      <c r="E80" s="5" t="inlineStr">
        <is>
          <t>Used, Good</t>
        </is>
      </c>
      <c r="F80" s="6" t="n">
        <v>2018</v>
      </c>
      <c r="G80" s="5" t="inlineStr">
        <is>
          <t>Action, Open World</t>
        </is>
      </c>
      <c r="H80" s="7" t="n">
        <v>15</v>
      </c>
      <c r="I80" s="8" t="n">
        <v>20</v>
      </c>
      <c r="J80" s="7">
        <f>I80-H80</f>
        <v/>
      </c>
      <c r="K80" s="9">
        <f>IF(H80=0,0,J80/H80)</f>
        <v/>
      </c>
      <c r="L80" s="5" t="inlineStr">
        <is>
          <t>Active</t>
        </is>
      </c>
      <c r="M80" s="6" t="n">
        <v>1</v>
      </c>
      <c r="N80" s="5" t="inlineStr">
        <is>
          <t>Popular title: raised to market range</t>
        </is>
      </c>
      <c r="O80" s="10" t="inlineStr">
        <is>
          <t>Open</t>
        </is>
      </c>
    </row>
    <row r="81">
      <c r="A81" s="4" t="n">
        <v>77</v>
      </c>
      <c r="B81" s="5" t="inlineStr">
        <is>
          <t>Resident Evil 2</t>
        </is>
      </c>
      <c r="C81" s="5" t="inlineStr">
        <is>
          <t>PlayStation 4</t>
        </is>
      </c>
      <c r="D81" s="5" t="inlineStr">
        <is>
          <t>Standard</t>
        </is>
      </c>
      <c r="E81" s="5" t="inlineStr">
        <is>
          <t>Used, Good</t>
        </is>
      </c>
      <c r="F81" s="6" t="n">
        <v>2019</v>
      </c>
      <c r="G81" s="5" t="inlineStr">
        <is>
          <t>Horror, Action</t>
        </is>
      </c>
      <c r="H81" s="7" t="n">
        <v>15</v>
      </c>
      <c r="I81" s="8" t="n">
        <v>18</v>
      </c>
      <c r="J81" s="7">
        <f>I81-H81</f>
        <v/>
      </c>
      <c r="K81" s="9">
        <f>IF(H81=0,0,J81/H81)</f>
        <v/>
      </c>
      <c r="L81" s="5" t="inlineStr">
        <is>
          <t>Active</t>
        </is>
      </c>
      <c r="M81" s="6" t="n">
        <v>1</v>
      </c>
      <c r="N81" s="5" t="inlineStr">
        <is>
          <t>Popular title: raised to market range</t>
        </is>
      </c>
      <c r="O81" s="10" t="inlineStr">
        <is>
          <t>Open</t>
        </is>
      </c>
    </row>
    <row r="82">
      <c r="A82" s="4" t="n">
        <v>78</v>
      </c>
      <c r="B82" s="5" t="inlineStr">
        <is>
          <t>Resident Evil 6</t>
        </is>
      </c>
      <c r="C82" s="5" t="inlineStr">
        <is>
          <t>PlayStation 4</t>
        </is>
      </c>
      <c r="D82" s="5" t="inlineStr">
        <is>
          <t>Standard</t>
        </is>
      </c>
      <c r="E82" s="5" t="inlineStr">
        <is>
          <t>Used, Good</t>
        </is>
      </c>
      <c r="F82" s="6" t="n">
        <v>2016</v>
      </c>
      <c r="G82" s="5" t="inlineStr">
        <is>
          <t>Action, Horror</t>
        </is>
      </c>
      <c r="H82" s="7" t="n">
        <v>12</v>
      </c>
      <c r="I82" s="8" t="n">
        <v>12</v>
      </c>
      <c r="J82" s="7">
        <f>I82-H82</f>
        <v/>
      </c>
      <c r="K82" s="9">
        <f>IF(H82=0,0,J82/H82)</f>
        <v/>
      </c>
      <c r="L82" s="5" t="inlineStr">
        <is>
          <t>Active</t>
        </is>
      </c>
      <c r="M82" s="6" t="n">
        <v>1</v>
      </c>
      <c r="N82" s="5" t="inlineStr">
        <is>
          <t>Unchanged: already at or above market floor</t>
        </is>
      </c>
      <c r="O82" s="10" t="inlineStr">
        <is>
          <t>Open</t>
        </is>
      </c>
    </row>
    <row r="83">
      <c r="A83" s="4" t="n">
        <v>79</v>
      </c>
      <c r="B83" s="5" t="inlineStr">
        <is>
          <t>Resident Evil Origins Collection</t>
        </is>
      </c>
      <c r="C83" s="5" t="inlineStr">
        <is>
          <t>PlayStation 4</t>
        </is>
      </c>
      <c r="D83" s="5" t="inlineStr">
        <is>
          <t>Standard</t>
        </is>
      </c>
      <c r="E83" s="5" t="inlineStr">
        <is>
          <t>Used, Good</t>
        </is>
      </c>
      <c r="F83" s="6" t="n">
        <v>2016</v>
      </c>
      <c r="G83" s="5" t="inlineStr">
        <is>
          <t>Horror</t>
        </is>
      </c>
      <c r="H83" s="7" t="n">
        <v>15</v>
      </c>
      <c r="I83" s="8" t="n">
        <v>15</v>
      </c>
      <c r="J83" s="7">
        <f>I83-H83</f>
        <v/>
      </c>
      <c r="K83" s="9">
        <f>IF(H83=0,0,J83/H83)</f>
        <v/>
      </c>
      <c r="L83" s="5" t="inlineStr">
        <is>
          <t>Active</t>
        </is>
      </c>
      <c r="M83" s="6" t="n">
        <v>1</v>
      </c>
      <c r="N83" s="5" t="inlineStr">
        <is>
          <t>Unchanged: already at or above market floor</t>
        </is>
      </c>
      <c r="O83" s="10" t="inlineStr">
        <is>
          <t>Open</t>
        </is>
      </c>
    </row>
    <row r="84">
      <c r="A84" s="4" t="n">
        <v>80</v>
      </c>
      <c r="B84" s="5" t="inlineStr">
        <is>
          <t>Resident Evil Revelations</t>
        </is>
      </c>
      <c r="C84" s="5" t="inlineStr">
        <is>
          <t>PlayStation 4</t>
        </is>
      </c>
      <c r="D84" s="5" t="inlineStr">
        <is>
          <t>Standard</t>
        </is>
      </c>
      <c r="E84" s="5" t="inlineStr">
        <is>
          <t>Used, Good</t>
        </is>
      </c>
      <c r="F84" s="6" t="n">
        <v>2017</v>
      </c>
      <c r="G84" s="5" t="inlineStr">
        <is>
          <t>Action, Horror</t>
        </is>
      </c>
      <c r="H84" s="7" t="n">
        <v>12</v>
      </c>
      <c r="I84" s="8" t="n">
        <v>12</v>
      </c>
      <c r="J84" s="7">
        <f>I84-H84</f>
        <v/>
      </c>
      <c r="K84" s="9">
        <f>IF(H84=0,0,J84/H84)</f>
        <v/>
      </c>
      <c r="L84" s="5" t="inlineStr">
        <is>
          <t>Active</t>
        </is>
      </c>
      <c r="M84" s="6" t="n">
        <v>1</v>
      </c>
      <c r="N84" s="5" t="inlineStr">
        <is>
          <t>Unchanged: already at or above market floor</t>
        </is>
      </c>
      <c r="O84" s="10" t="inlineStr">
        <is>
          <t>Open</t>
        </is>
      </c>
    </row>
    <row r="85">
      <c r="A85" s="4" t="n">
        <v>81</v>
      </c>
      <c r="B85" s="5" t="inlineStr">
        <is>
          <t>Resident Evil Revelations 2</t>
        </is>
      </c>
      <c r="C85" s="5" t="inlineStr">
        <is>
          <t>PlayStation 4</t>
        </is>
      </c>
      <c r="D85" s="5" t="inlineStr">
        <is>
          <t>Standard</t>
        </is>
      </c>
      <c r="E85" s="5" t="inlineStr">
        <is>
          <t>Used, Good</t>
        </is>
      </c>
      <c r="F85" s="6" t="n">
        <v>2015</v>
      </c>
      <c r="G85" s="5" t="inlineStr">
        <is>
          <t>Horror, Action</t>
        </is>
      </c>
      <c r="H85" s="7" t="n">
        <v>12</v>
      </c>
      <c r="I85" s="8" t="n">
        <v>12</v>
      </c>
      <c r="J85" s="7">
        <f>I85-H85</f>
        <v/>
      </c>
      <c r="K85" s="9">
        <f>IF(H85=0,0,J85/H85)</f>
        <v/>
      </c>
      <c r="L85" s="5" t="inlineStr">
        <is>
          <t>Active</t>
        </is>
      </c>
      <c r="M85" s="6" t="n">
        <v>1</v>
      </c>
      <c r="N85" s="5" t="inlineStr">
        <is>
          <t>Unchanged: already at or above market floor</t>
        </is>
      </c>
      <c r="O85" s="10" t="inlineStr">
        <is>
          <t>Open</t>
        </is>
      </c>
    </row>
    <row r="86">
      <c r="A86" s="4" t="n">
        <v>82</v>
      </c>
      <c r="B86" s="5" t="inlineStr">
        <is>
          <t>Resident Evil VII: Biohazard</t>
        </is>
      </c>
      <c r="C86" s="5" t="inlineStr">
        <is>
          <t>PlayStation 4</t>
        </is>
      </c>
      <c r="D86" s="5" t="inlineStr">
        <is>
          <t>Standard</t>
        </is>
      </c>
      <c r="E86" s="5" t="inlineStr">
        <is>
          <t>Used, Good</t>
        </is>
      </c>
      <c r="F86" s="6" t="n">
        <v>2017</v>
      </c>
      <c r="G86" s="5" t="inlineStr">
        <is>
          <t>Horror</t>
        </is>
      </c>
      <c r="H86" s="7" t="n">
        <v>15</v>
      </c>
      <c r="I86" s="8" t="n">
        <v>16</v>
      </c>
      <c r="J86" s="7">
        <f>I86-H86</f>
        <v/>
      </c>
      <c r="K86" s="9">
        <f>IF(H86=0,0,J86/H86)</f>
        <v/>
      </c>
      <c r="L86" s="5" t="inlineStr">
        <is>
          <t>Active</t>
        </is>
      </c>
      <c r="M86" s="6" t="n">
        <v>1</v>
      </c>
      <c r="N86" s="5" t="inlineStr">
        <is>
          <t>Popular title: raised to market range</t>
        </is>
      </c>
      <c r="O86" s="10" t="inlineStr">
        <is>
          <t>Open</t>
        </is>
      </c>
    </row>
    <row r="87">
      <c r="A87" s="4" t="n">
        <v>83</v>
      </c>
      <c r="B87" s="5" t="inlineStr">
        <is>
          <t>Resident Evil Village</t>
        </is>
      </c>
      <c r="C87" s="5" t="inlineStr">
        <is>
          <t>PlayStation 4</t>
        </is>
      </c>
      <c r="D87" s="5" t="inlineStr">
        <is>
          <t>Standard</t>
        </is>
      </c>
      <c r="E87" s="5" t="inlineStr">
        <is>
          <t>Used, Good</t>
        </is>
      </c>
      <c r="F87" s="6" t="n">
        <v>2021</v>
      </c>
      <c r="G87" s="5" t="inlineStr">
        <is>
          <t>Action, Horror</t>
        </is>
      </c>
      <c r="H87" s="7" t="n">
        <v>18</v>
      </c>
      <c r="I87" s="8" t="n">
        <v>20</v>
      </c>
      <c r="J87" s="7">
        <f>I87-H87</f>
        <v/>
      </c>
      <c r="K87" s="9">
        <f>IF(H87=0,0,J87/H87)</f>
        <v/>
      </c>
      <c r="L87" s="5" t="inlineStr">
        <is>
          <t>Active</t>
        </is>
      </c>
      <c r="M87" s="6" t="n">
        <v>1</v>
      </c>
      <c r="N87" s="5" t="inlineStr">
        <is>
          <t>Popular title: raised to market range</t>
        </is>
      </c>
      <c r="O87" s="10" t="inlineStr">
        <is>
          <t>Open</t>
        </is>
      </c>
    </row>
    <row r="88">
      <c r="A88" s="4" t="n">
        <v>84</v>
      </c>
      <c r="B88" s="5" t="inlineStr">
        <is>
          <t>Sniper Elite 4</t>
        </is>
      </c>
      <c r="C88" s="5" t="inlineStr">
        <is>
          <t>PlayStation 4</t>
        </is>
      </c>
      <c r="D88" s="5" t="inlineStr">
        <is>
          <t>Standard</t>
        </is>
      </c>
      <c r="E88" s="5" t="inlineStr">
        <is>
          <t>Used, Good</t>
        </is>
      </c>
      <c r="F88" s="6" t="n">
        <v>2017</v>
      </c>
      <c r="G88" s="5" t="inlineStr">
        <is>
          <t>Shooter</t>
        </is>
      </c>
      <c r="H88" s="7" t="n">
        <v>10</v>
      </c>
      <c r="I88" s="8" t="n">
        <v>12</v>
      </c>
      <c r="J88" s="7">
        <f>I88-H88</f>
        <v/>
      </c>
      <c r="K88" s="9">
        <f>IF(H88=0,0,J88/H88)</f>
        <v/>
      </c>
      <c r="L88" s="5" t="inlineStr">
        <is>
          <t>Active</t>
        </is>
      </c>
      <c r="M88" s="6" t="n">
        <v>1</v>
      </c>
      <c r="N88" s="5" t="inlineStr">
        <is>
          <t>Raised to the $12 floor for ordinary titles</t>
        </is>
      </c>
      <c r="O88" s="10" t="inlineStr">
        <is>
          <t>Open</t>
        </is>
      </c>
    </row>
    <row r="89">
      <c r="A89" s="4" t="n">
        <v>85</v>
      </c>
      <c r="B89" s="5" t="inlineStr">
        <is>
          <t>Sniper Ghost Warrior 3</t>
        </is>
      </c>
      <c r="C89" s="5" t="inlineStr">
        <is>
          <t>PlayStation 4</t>
        </is>
      </c>
      <c r="D89" s="5" t="inlineStr">
        <is>
          <t>Standard</t>
        </is>
      </c>
      <c r="E89" s="5" t="inlineStr">
        <is>
          <t>Used, Good</t>
        </is>
      </c>
      <c r="F89" s="6" t="n">
        <v>2017</v>
      </c>
      <c r="G89" s="5" t="inlineStr">
        <is>
          <t>Shooter</t>
        </is>
      </c>
      <c r="H89" s="7" t="n">
        <v>8</v>
      </c>
      <c r="I89" s="8" t="n">
        <v>8</v>
      </c>
      <c r="J89" s="7">
        <f>I89-H89</f>
        <v/>
      </c>
      <c r="K89" s="9">
        <f>IF(H89=0,0,J89/H89)</f>
        <v/>
      </c>
      <c r="L89" s="5" t="inlineStr">
        <is>
          <t>Active</t>
        </is>
      </c>
      <c r="M89" s="6" t="n">
        <v>1</v>
      </c>
      <c r="N89" s="5" t="inlineStr">
        <is>
          <t>Older/annual/low-demand: unchanged</t>
        </is>
      </c>
      <c r="O89" s="10" t="inlineStr">
        <is>
          <t>Open</t>
        </is>
      </c>
    </row>
    <row r="90">
      <c r="A90" s="4" t="n">
        <v>86</v>
      </c>
      <c r="B90" s="5" t="inlineStr">
        <is>
          <t>Star Wars Battlefront II: Elite Trooper Deluxe Edition</t>
        </is>
      </c>
      <c r="C90" s="5" t="inlineStr">
        <is>
          <t>PlayStation 4</t>
        </is>
      </c>
      <c r="D90" s="5" t="inlineStr">
        <is>
          <t>Deluxe</t>
        </is>
      </c>
      <c r="E90" s="5" t="inlineStr">
        <is>
          <t>Used, Good</t>
        </is>
      </c>
      <c r="F90" s="6" t="n">
        <v>2017</v>
      </c>
      <c r="G90" s="5" t="inlineStr">
        <is>
          <t>Shooter</t>
        </is>
      </c>
      <c r="H90" s="7" t="n">
        <v>12</v>
      </c>
      <c r="I90" s="8" t="n">
        <v>12</v>
      </c>
      <c r="J90" s="7">
        <f>I90-H90</f>
        <v/>
      </c>
      <c r="K90" s="9">
        <f>IF(H90=0,0,J90/H90)</f>
        <v/>
      </c>
      <c r="L90" s="5" t="inlineStr">
        <is>
          <t>Active</t>
        </is>
      </c>
      <c r="M90" s="6" t="n">
        <v>1</v>
      </c>
      <c r="N90" s="5" t="inlineStr">
        <is>
          <t>Unchanged: already at or above market floor</t>
        </is>
      </c>
      <c r="O90" s="10" t="inlineStr">
        <is>
          <t>Open</t>
        </is>
      </c>
    </row>
    <row r="91">
      <c r="A91" s="4" t="n">
        <v>87</v>
      </c>
      <c r="B91" s="5" t="inlineStr">
        <is>
          <t>Star Wars Jedi: Fallen Order</t>
        </is>
      </c>
      <c r="C91" s="5" t="inlineStr">
        <is>
          <t>PlayStation 4</t>
        </is>
      </c>
      <c r="D91" s="5" t="inlineStr">
        <is>
          <t>Standard</t>
        </is>
      </c>
      <c r="E91" s="5" t="inlineStr">
        <is>
          <t>Used, Good</t>
        </is>
      </c>
      <c r="F91" s="6" t="n">
        <v>2019</v>
      </c>
      <c r="G91" s="5" t="inlineStr">
        <is>
          <t>Action, Adventure</t>
        </is>
      </c>
      <c r="H91" s="7" t="n">
        <v>12</v>
      </c>
      <c r="I91" s="8" t="n">
        <v>16</v>
      </c>
      <c r="J91" s="7">
        <f>I91-H91</f>
        <v/>
      </c>
      <c r="K91" s="9">
        <f>IF(H91=0,0,J91/H91)</f>
        <v/>
      </c>
      <c r="L91" s="5" t="inlineStr">
        <is>
          <t>Active</t>
        </is>
      </c>
      <c r="M91" s="6" t="n">
        <v>1</v>
      </c>
      <c r="N91" s="5" t="inlineStr">
        <is>
          <t>Popular title: raised to market range</t>
        </is>
      </c>
      <c r="O91" s="10" t="inlineStr">
        <is>
          <t>Open</t>
        </is>
      </c>
    </row>
    <row r="92">
      <c r="A92" s="4" t="n">
        <v>88</v>
      </c>
      <c r="B92" s="5" t="inlineStr">
        <is>
          <t>The Amazing Spider-Man 2</t>
        </is>
      </c>
      <c r="C92" s="5" t="inlineStr">
        <is>
          <t>PlayStation 4</t>
        </is>
      </c>
      <c r="D92" s="5" t="inlineStr">
        <is>
          <t>Standard</t>
        </is>
      </c>
      <c r="E92" s="5" t="inlineStr">
        <is>
          <t>Used, Good</t>
        </is>
      </c>
      <c r="F92" s="6" t="n">
        <v>2014</v>
      </c>
      <c r="G92" s="5" t="inlineStr">
        <is>
          <t>Action</t>
        </is>
      </c>
      <c r="H92" s="7" t="n">
        <v>25</v>
      </c>
      <c r="I92" s="8" t="n">
        <v>25</v>
      </c>
      <c r="J92" s="7">
        <f>I92-H92</f>
        <v/>
      </c>
      <c r="K92" s="9">
        <f>IF(H92=0,0,J92/H92)</f>
        <v/>
      </c>
      <c r="L92" s="5" t="inlineStr">
        <is>
          <t>Active</t>
        </is>
      </c>
      <c r="M92" s="6" t="n">
        <v>1</v>
      </c>
      <c r="N92" s="5" t="inlineStr">
        <is>
          <t>Unchanged: already at or above market floor</t>
        </is>
      </c>
      <c r="O92" s="10" t="inlineStr">
        <is>
          <t>Open</t>
        </is>
      </c>
    </row>
    <row r="93">
      <c r="A93" s="4" t="n">
        <v>89</v>
      </c>
      <c r="B93" s="5" t="inlineStr">
        <is>
          <t>The Evil Within 2</t>
        </is>
      </c>
      <c r="C93" s="5" t="inlineStr">
        <is>
          <t>PlayStation 4</t>
        </is>
      </c>
      <c r="D93" s="5" t="inlineStr">
        <is>
          <t>Standard</t>
        </is>
      </c>
      <c r="E93" s="5" t="inlineStr">
        <is>
          <t>Used, Good</t>
        </is>
      </c>
      <c r="F93" s="6" t="n">
        <v>2017</v>
      </c>
      <c r="G93" s="5" t="inlineStr">
        <is>
          <t>Horror</t>
        </is>
      </c>
      <c r="H93" s="7" t="n">
        <v>15</v>
      </c>
      <c r="I93" s="8" t="n">
        <v>15</v>
      </c>
      <c r="J93" s="7">
        <f>I93-H93</f>
        <v/>
      </c>
      <c r="K93" s="9">
        <f>IF(H93=0,0,J93/H93)</f>
        <v/>
      </c>
      <c r="L93" s="5" t="inlineStr">
        <is>
          <t>Active</t>
        </is>
      </c>
      <c r="M93" s="6" t="n">
        <v>1</v>
      </c>
      <c r="N93" s="5" t="inlineStr">
        <is>
          <t>Unchanged: already at or above market floor</t>
        </is>
      </c>
      <c r="O93" s="10" t="inlineStr">
        <is>
          <t>Open</t>
        </is>
      </c>
    </row>
    <row r="94">
      <c r="A94" s="4" t="n">
        <v>90</v>
      </c>
      <c r="B94" s="5" t="inlineStr">
        <is>
          <t>The Last Guardian</t>
        </is>
      </c>
      <c r="C94" s="5" t="inlineStr">
        <is>
          <t>PlayStation 4</t>
        </is>
      </c>
      <c r="D94" s="5" t="inlineStr">
        <is>
          <t>Standard</t>
        </is>
      </c>
      <c r="E94" s="5" t="inlineStr">
        <is>
          <t>Used, Good</t>
        </is>
      </c>
      <c r="F94" s="6" t="n">
        <v>2016</v>
      </c>
      <c r="G94" s="5" t="inlineStr">
        <is>
          <t>Adventure, Puzzle</t>
        </is>
      </c>
      <c r="H94" s="7" t="n">
        <v>12</v>
      </c>
      <c r="I94" s="8" t="n">
        <v>12</v>
      </c>
      <c r="J94" s="7">
        <f>I94-H94</f>
        <v/>
      </c>
      <c r="K94" s="9">
        <f>IF(H94=0,0,J94/H94)</f>
        <v/>
      </c>
      <c r="L94" s="5" t="inlineStr">
        <is>
          <t>Active</t>
        </is>
      </c>
      <c r="M94" s="6" t="n">
        <v>1</v>
      </c>
      <c r="N94" s="5" t="inlineStr">
        <is>
          <t>Unchanged: already at or above market floor</t>
        </is>
      </c>
      <c r="O94" s="10" t="inlineStr">
        <is>
          <t>Open</t>
        </is>
      </c>
    </row>
    <row r="95">
      <c r="A95" s="4" t="n">
        <v>91</v>
      </c>
      <c r="B95" s="5" t="inlineStr">
        <is>
          <t>The Last of Us Remastered</t>
        </is>
      </c>
      <c r="C95" s="5" t="inlineStr">
        <is>
          <t>PlayStation 4</t>
        </is>
      </c>
      <c r="D95" s="5" t="inlineStr">
        <is>
          <t>Standard</t>
        </is>
      </c>
      <c r="E95" s="5" t="inlineStr">
        <is>
          <t>Used, Good</t>
        </is>
      </c>
      <c r="F95" s="6" t="n">
        <v>2014</v>
      </c>
      <c r="G95" s="5" t="inlineStr">
        <is>
          <t>Action, Horror</t>
        </is>
      </c>
      <c r="H95" s="7" t="n">
        <v>12</v>
      </c>
      <c r="I95" s="8" t="n">
        <v>18</v>
      </c>
      <c r="J95" s="7">
        <f>I95-H95</f>
        <v/>
      </c>
      <c r="K95" s="9">
        <f>IF(H95=0,0,J95/H95)</f>
        <v/>
      </c>
      <c r="L95" s="5" t="inlineStr">
        <is>
          <t>Active</t>
        </is>
      </c>
      <c r="M95" s="6" t="n">
        <v>1</v>
      </c>
      <c r="N95" s="5" t="inlineStr">
        <is>
          <t>Popular title: raised to market range</t>
        </is>
      </c>
      <c r="O95" s="10" t="inlineStr">
        <is>
          <t>Open</t>
        </is>
      </c>
    </row>
    <row r="96">
      <c r="A96" s="4" t="n">
        <v>92</v>
      </c>
      <c r="B96" s="5" t="inlineStr">
        <is>
          <t>The Sinking City</t>
        </is>
      </c>
      <c r="C96" s="5" t="inlineStr">
        <is>
          <t>PlayStation 4</t>
        </is>
      </c>
      <c r="D96" s="5" t="inlineStr">
        <is>
          <t>Standard</t>
        </is>
      </c>
      <c r="E96" s="5" t="inlineStr">
        <is>
          <t>Used, Good</t>
        </is>
      </c>
      <c r="F96" s="6" t="n">
        <v>2019</v>
      </c>
      <c r="G96" s="5" t="inlineStr">
        <is>
          <t>Adventure, Horror</t>
        </is>
      </c>
      <c r="H96" s="7" t="n">
        <v>15</v>
      </c>
      <c r="I96" s="8" t="n">
        <v>15</v>
      </c>
      <c r="J96" s="7">
        <f>I96-H96</f>
        <v/>
      </c>
      <c r="K96" s="9">
        <f>IF(H96=0,0,J96/H96)</f>
        <v/>
      </c>
      <c r="L96" s="5" t="inlineStr">
        <is>
          <t>Active</t>
        </is>
      </c>
      <c r="M96" s="6" t="n">
        <v>1</v>
      </c>
      <c r="N96" s="5" t="inlineStr">
        <is>
          <t>Unchanged: already at or above market floor</t>
        </is>
      </c>
      <c r="O96" s="10" t="inlineStr">
        <is>
          <t>Open</t>
        </is>
      </c>
    </row>
    <row r="97">
      <c r="A97" s="4" t="n">
        <v>93</v>
      </c>
      <c r="B97" s="5" t="inlineStr">
        <is>
          <t>The Witcher 3: Wild Hunt</t>
        </is>
      </c>
      <c r="C97" s="5" t="inlineStr">
        <is>
          <t>PlayStation 4</t>
        </is>
      </c>
      <c r="D97" s="5" t="inlineStr">
        <is>
          <t>Standard</t>
        </is>
      </c>
      <c r="E97" s="5" t="inlineStr">
        <is>
          <t>Used, Good</t>
        </is>
      </c>
      <c r="F97" s="6" t="n">
        <v>2015</v>
      </c>
      <c r="G97" s="5" t="inlineStr">
        <is>
          <t>RPG, Open World</t>
        </is>
      </c>
      <c r="H97" s="7" t="n">
        <v>15</v>
      </c>
      <c r="I97" s="8" t="n">
        <v>18</v>
      </c>
      <c r="J97" s="7">
        <f>I97-H97</f>
        <v/>
      </c>
      <c r="K97" s="9">
        <f>IF(H97=0,0,J97/H97)</f>
        <v/>
      </c>
      <c r="L97" s="5" t="inlineStr">
        <is>
          <t>Active</t>
        </is>
      </c>
      <c r="M97" s="6" t="n">
        <v>1</v>
      </c>
      <c r="N97" s="5" t="inlineStr">
        <is>
          <t>Popular title: raised to market range</t>
        </is>
      </c>
      <c r="O97" s="10" t="inlineStr">
        <is>
          <t>Open</t>
        </is>
      </c>
    </row>
    <row r="98">
      <c r="A98" s="4" t="n">
        <v>94</v>
      </c>
      <c r="B98" s="5" t="inlineStr">
        <is>
          <t>Titanfall 2</t>
        </is>
      </c>
      <c r="C98" s="5" t="inlineStr">
        <is>
          <t>PlayStation 4</t>
        </is>
      </c>
      <c r="D98" s="5" t="inlineStr">
        <is>
          <t>Standard</t>
        </is>
      </c>
      <c r="E98" s="5" t="inlineStr">
        <is>
          <t>Used, Good</t>
        </is>
      </c>
      <c r="F98" s="6" t="n">
        <v>2016</v>
      </c>
      <c r="G98" s="5" t="inlineStr">
        <is>
          <t>Shooter</t>
        </is>
      </c>
      <c r="H98" s="7" t="n">
        <v>10</v>
      </c>
      <c r="I98" s="8" t="n">
        <v>12</v>
      </c>
      <c r="J98" s="7">
        <f>I98-H98</f>
        <v/>
      </c>
      <c r="K98" s="9">
        <f>IF(H98=0,0,J98/H98)</f>
        <v/>
      </c>
      <c r="L98" s="5" t="inlineStr">
        <is>
          <t>Active</t>
        </is>
      </c>
      <c r="M98" s="6" t="n">
        <v>1</v>
      </c>
      <c r="N98" s="5" t="inlineStr">
        <is>
          <t>Raised to the $12 floor for ordinary titles</t>
        </is>
      </c>
      <c r="O98" s="10" t="inlineStr">
        <is>
          <t>Open</t>
        </is>
      </c>
    </row>
    <row r="99">
      <c r="A99" s="4" t="n">
        <v>95</v>
      </c>
      <c r="B99" s="5" t="inlineStr">
        <is>
          <t>Tom Clancy's Ghost Recon Breakpoint</t>
        </is>
      </c>
      <c r="C99" s="5" t="inlineStr">
        <is>
          <t>PlayStation 4</t>
        </is>
      </c>
      <c r="D99" s="5" t="inlineStr">
        <is>
          <t>Standard</t>
        </is>
      </c>
      <c r="E99" s="5" t="inlineStr">
        <is>
          <t>Used, Good</t>
        </is>
      </c>
      <c r="F99" s="6" t="n">
        <v>2019</v>
      </c>
      <c r="G99" s="5" t="inlineStr">
        <is>
          <t>Shooter, Open World</t>
        </is>
      </c>
      <c r="H99" s="7" t="n">
        <v>8</v>
      </c>
      <c r="I99" s="8" t="n">
        <v>10</v>
      </c>
      <c r="J99" s="7">
        <f>I99-H99</f>
        <v/>
      </c>
      <c r="K99" s="9">
        <f>IF(H99=0,0,J99/H99)</f>
        <v/>
      </c>
      <c r="L99" s="5" t="inlineStr">
        <is>
          <t>Active</t>
        </is>
      </c>
      <c r="M99" s="6" t="n">
        <v>1</v>
      </c>
      <c r="N99" s="5" t="inlineStr">
        <is>
          <t>Older/annual/low-demand: small lift</t>
        </is>
      </c>
      <c r="O99" s="10" t="inlineStr">
        <is>
          <t>Open</t>
        </is>
      </c>
    </row>
    <row r="100">
      <c r="A100" s="4" t="n">
        <v>96</v>
      </c>
      <c r="B100" s="5" t="inlineStr">
        <is>
          <t>Uncharted 4: A Thief's End</t>
        </is>
      </c>
      <c r="C100" s="5" t="inlineStr">
        <is>
          <t>PlayStation 4</t>
        </is>
      </c>
      <c r="D100" s="5" t="inlineStr">
        <is>
          <t>Standard</t>
        </is>
      </c>
      <c r="E100" s="5" t="inlineStr">
        <is>
          <t>Used, Good</t>
        </is>
      </c>
      <c r="F100" s="6" t="n">
        <v>2016</v>
      </c>
      <c r="G100" s="5" t="inlineStr">
        <is>
          <t>Action, Adventure</t>
        </is>
      </c>
      <c r="H100" s="7" t="n">
        <v>12</v>
      </c>
      <c r="I100" s="8" t="n">
        <v>18</v>
      </c>
      <c r="J100" s="7">
        <f>I100-H100</f>
        <v/>
      </c>
      <c r="K100" s="9">
        <f>IF(H100=0,0,J100/H100)</f>
        <v/>
      </c>
      <c r="L100" s="5" t="inlineStr">
        <is>
          <t>Active</t>
        </is>
      </c>
      <c r="M100" s="6" t="n">
        <v>1</v>
      </c>
      <c r="N100" s="5" t="inlineStr">
        <is>
          <t>Popular title: raised to market range</t>
        </is>
      </c>
      <c r="O100" s="10" t="inlineStr">
        <is>
          <t>Open</t>
        </is>
      </c>
    </row>
    <row r="101">
      <c r="A101" s="4" t="n">
        <v>97</v>
      </c>
      <c r="B101" s="5" t="inlineStr">
        <is>
          <t>Uncharted: The Lost Legacy</t>
        </is>
      </c>
      <c r="C101" s="5" t="inlineStr">
        <is>
          <t>PlayStation 4</t>
        </is>
      </c>
      <c r="D101" s="5" t="inlineStr">
        <is>
          <t>Standard</t>
        </is>
      </c>
      <c r="E101" s="5" t="inlineStr">
        <is>
          <t>Used, Good</t>
        </is>
      </c>
      <c r="F101" s="6" t="n">
        <v>2017</v>
      </c>
      <c r="G101" s="5" t="inlineStr">
        <is>
          <t>Action, Adventure</t>
        </is>
      </c>
      <c r="H101" s="7" t="n">
        <v>12</v>
      </c>
      <c r="I101" s="8" t="n">
        <v>18</v>
      </c>
      <c r="J101" s="7">
        <f>I101-H101</f>
        <v/>
      </c>
      <c r="K101" s="9">
        <f>IF(H101=0,0,J101/H101)</f>
        <v/>
      </c>
      <c r="L101" s="5" t="inlineStr">
        <is>
          <t>Active</t>
        </is>
      </c>
      <c r="M101" s="6" t="n">
        <v>1</v>
      </c>
      <c r="N101" s="5" t="inlineStr">
        <is>
          <t>Popular title: raised to market range</t>
        </is>
      </c>
      <c r="O101" s="10" t="inlineStr">
        <is>
          <t>Open</t>
        </is>
      </c>
    </row>
    <row r="102">
      <c r="A102" s="4" t="n">
        <v>98</v>
      </c>
      <c r="B102" s="5" t="inlineStr">
        <is>
          <t>Uncharted: The Nathan Drake Collection</t>
        </is>
      </c>
      <c r="C102" s="5" t="inlineStr">
        <is>
          <t>PlayStation 4</t>
        </is>
      </c>
      <c r="D102" s="5" t="inlineStr">
        <is>
          <t>Standard</t>
        </is>
      </c>
      <c r="E102" s="5" t="inlineStr">
        <is>
          <t>Used, Good</t>
        </is>
      </c>
      <c r="F102" s="6" t="n">
        <v>2015</v>
      </c>
      <c r="G102" s="5" t="inlineStr">
        <is>
          <t>Action, Adventure</t>
        </is>
      </c>
      <c r="H102" s="7" t="n">
        <v>10</v>
      </c>
      <c r="I102" s="8" t="n">
        <v>16</v>
      </c>
      <c r="J102" s="7">
        <f>I102-H102</f>
        <v/>
      </c>
      <c r="K102" s="9">
        <f>IF(H102=0,0,J102/H102)</f>
        <v/>
      </c>
      <c r="L102" s="5" t="inlineStr">
        <is>
          <t>Active</t>
        </is>
      </c>
      <c r="M102" s="6" t="n">
        <v>1</v>
      </c>
      <c r="N102" s="5" t="inlineStr">
        <is>
          <t>Popular title: raised to market range</t>
        </is>
      </c>
      <c r="O102" s="10" t="inlineStr">
        <is>
          <t>Open</t>
        </is>
      </c>
    </row>
    <row r="103">
      <c r="A103" s="4" t="n">
        <v>99</v>
      </c>
      <c r="B103" s="5" t="inlineStr">
        <is>
          <t>Until Dawn</t>
        </is>
      </c>
      <c r="C103" s="5" t="inlineStr">
        <is>
          <t>PlayStation 4</t>
        </is>
      </c>
      <c r="D103" s="5" t="inlineStr">
        <is>
          <t>Standard</t>
        </is>
      </c>
      <c r="E103" s="5" t="inlineStr">
        <is>
          <t>Used, Good</t>
        </is>
      </c>
      <c r="F103" s="6" t="n">
        <v>2015</v>
      </c>
      <c r="G103" s="5" t="inlineStr">
        <is>
          <t>Horror, Adventure</t>
        </is>
      </c>
      <c r="H103" s="7" t="n">
        <v>15</v>
      </c>
      <c r="I103" s="8" t="n">
        <v>16</v>
      </c>
      <c r="J103" s="7">
        <f>I103-H103</f>
        <v/>
      </c>
      <c r="K103" s="9">
        <f>IF(H103=0,0,J103/H103)</f>
        <v/>
      </c>
      <c r="L103" s="5" t="inlineStr">
        <is>
          <t>Active</t>
        </is>
      </c>
      <c r="M103" s="6" t="n">
        <v>1</v>
      </c>
      <c r="N103" s="5" t="inlineStr">
        <is>
          <t>Popular title: raised to market range</t>
        </is>
      </c>
      <c r="O103" s="10" t="inlineStr">
        <is>
          <t>Open</t>
        </is>
      </c>
    </row>
    <row r="104">
      <c r="A104" s="4" t="n">
        <v>100</v>
      </c>
      <c r="B104" s="5" t="inlineStr">
        <is>
          <t>Vampyr</t>
        </is>
      </c>
      <c r="C104" s="5" t="inlineStr">
        <is>
          <t>PlayStation 4</t>
        </is>
      </c>
      <c r="D104" s="5" t="inlineStr">
        <is>
          <t>Standard</t>
        </is>
      </c>
      <c r="E104" s="5" t="inlineStr">
        <is>
          <t>Used, Good</t>
        </is>
      </c>
      <c r="F104" s="6" t="n">
        <v>2018</v>
      </c>
      <c r="G104" s="5" t="inlineStr">
        <is>
          <t>Action, RPG</t>
        </is>
      </c>
      <c r="H104" s="7" t="n">
        <v>12</v>
      </c>
      <c r="I104" s="8" t="n">
        <v>12</v>
      </c>
      <c r="J104" s="7">
        <f>I104-H104</f>
        <v/>
      </c>
      <c r="K104" s="9">
        <f>IF(H104=0,0,J104/H104)</f>
        <v/>
      </c>
      <c r="L104" s="5" t="inlineStr">
        <is>
          <t>Active</t>
        </is>
      </c>
      <c r="M104" s="6" t="n">
        <v>1</v>
      </c>
      <c r="N104" s="5" t="inlineStr">
        <is>
          <t>Unchanged: already at or above market floor</t>
        </is>
      </c>
      <c r="O104" s="10" t="inlineStr">
        <is>
          <t>Open</t>
        </is>
      </c>
    </row>
    <row r="105">
      <c r="A105" s="4" t="n">
        <v>101</v>
      </c>
      <c r="B105" s="5" t="inlineStr">
        <is>
          <t>Watch Dogs 2</t>
        </is>
      </c>
      <c r="C105" s="5" t="inlineStr">
        <is>
          <t>PlayStation 4</t>
        </is>
      </c>
      <c r="D105" s="5" t="inlineStr">
        <is>
          <t>Standard</t>
        </is>
      </c>
      <c r="E105" s="5" t="inlineStr">
        <is>
          <t>Used, Good</t>
        </is>
      </c>
      <c r="F105" s="6" t="n">
        <v>2016</v>
      </c>
      <c r="G105" s="5" t="inlineStr">
        <is>
          <t>Action, Open World</t>
        </is>
      </c>
      <c r="H105" s="7" t="n">
        <v>10</v>
      </c>
      <c r="I105" s="8" t="n">
        <v>12</v>
      </c>
      <c r="J105" s="7">
        <f>I105-H105</f>
        <v/>
      </c>
      <c r="K105" s="9">
        <f>IF(H105=0,0,J105/H105)</f>
        <v/>
      </c>
      <c r="L105" s="5" t="inlineStr">
        <is>
          <t>Active</t>
        </is>
      </c>
      <c r="M105" s="6" t="n">
        <v>1</v>
      </c>
      <c r="N105" s="5" t="inlineStr">
        <is>
          <t>Raised to the $12 floor for ordinary titles</t>
        </is>
      </c>
      <c r="O105" s="10" t="inlineStr">
        <is>
          <t>Open</t>
        </is>
      </c>
    </row>
    <row r="106">
      <c r="A106" s="4" t="n">
        <v>102</v>
      </c>
      <c r="B106" s="5" t="inlineStr">
        <is>
          <t>Watch Dogs Legion</t>
        </is>
      </c>
      <c r="C106" s="5" t="inlineStr">
        <is>
          <t>PlayStation 4</t>
        </is>
      </c>
      <c r="D106" s="5" t="inlineStr">
        <is>
          <t>Standard</t>
        </is>
      </c>
      <c r="E106" s="5" t="inlineStr">
        <is>
          <t>Used, Good</t>
        </is>
      </c>
      <c r="F106" s="6" t="n">
        <v>2020</v>
      </c>
      <c r="G106" s="5" t="inlineStr">
        <is>
          <t>Action, Open World</t>
        </is>
      </c>
      <c r="H106" s="7" t="n">
        <v>10</v>
      </c>
      <c r="I106" s="8" t="n">
        <v>12</v>
      </c>
      <c r="J106" s="7">
        <f>I106-H106</f>
        <v/>
      </c>
      <c r="K106" s="9">
        <f>IF(H106=0,0,J106/H106)</f>
        <v/>
      </c>
      <c r="L106" s="5" t="inlineStr">
        <is>
          <t>Active</t>
        </is>
      </c>
      <c r="M106" s="6" t="n">
        <v>1</v>
      </c>
      <c r="N106" s="5" t="inlineStr">
        <is>
          <t>Raised to the $12 floor for ordinary titles</t>
        </is>
      </c>
      <c r="O106" s="10" t="inlineStr">
        <is>
          <t>Open</t>
        </is>
      </c>
    </row>
    <row r="107">
      <c r="A107" s="4" t="n">
        <v>103</v>
      </c>
      <c r="B107" s="5" t="inlineStr">
        <is>
          <t>Wolfenstein II: The New Colossus</t>
        </is>
      </c>
      <c r="C107" s="5" t="inlineStr">
        <is>
          <t>PlayStation 4</t>
        </is>
      </c>
      <c r="D107" s="5" t="inlineStr">
        <is>
          <t>Standard</t>
        </is>
      </c>
      <c r="E107" s="5" t="inlineStr">
        <is>
          <t>Used, Good</t>
        </is>
      </c>
      <c r="F107" s="6" t="n">
        <v>2017</v>
      </c>
      <c r="G107" s="5" t="inlineStr">
        <is>
          <t>Shooter</t>
        </is>
      </c>
      <c r="H107" s="7" t="n">
        <v>10</v>
      </c>
      <c r="I107" s="8" t="n">
        <v>12</v>
      </c>
      <c r="J107" s="7">
        <f>I107-H107</f>
        <v/>
      </c>
      <c r="K107" s="9">
        <f>IF(H107=0,0,J107/H107)</f>
        <v/>
      </c>
      <c r="L107" s="5" t="inlineStr">
        <is>
          <t>Active</t>
        </is>
      </c>
      <c r="M107" s="6" t="n">
        <v>1</v>
      </c>
      <c r="N107" s="5" t="inlineStr">
        <is>
          <t>Raised to the $12 floor for ordinary titles</t>
        </is>
      </c>
      <c r="O107" s="10" t="inlineStr">
        <is>
          <t>Open</t>
        </is>
      </c>
    </row>
    <row r="108">
      <c r="A108" s="4" t="n">
        <v>104</v>
      </c>
      <c r="B108" s="5" t="inlineStr">
        <is>
          <t>WWE 2K16</t>
        </is>
      </c>
      <c r="C108" s="5" t="inlineStr">
        <is>
          <t>PlayStation 4</t>
        </is>
      </c>
      <c r="D108" s="5" t="inlineStr">
        <is>
          <t>Standard</t>
        </is>
      </c>
      <c r="E108" s="5" t="inlineStr">
        <is>
          <t>Used, Good</t>
        </is>
      </c>
      <c r="F108" s="6" t="n">
        <v>2015</v>
      </c>
      <c r="G108" s="5" t="inlineStr">
        <is>
          <t>Sports, Fighting</t>
        </is>
      </c>
      <c r="H108" s="7" t="n">
        <v>5</v>
      </c>
      <c r="I108" s="8" t="n">
        <v>6</v>
      </c>
      <c r="J108" s="7">
        <f>I108-H108</f>
        <v/>
      </c>
      <c r="K108" s="9">
        <f>IF(H108=0,0,J108/H108)</f>
        <v/>
      </c>
      <c r="L108" s="5" t="inlineStr">
        <is>
          <t>Active</t>
        </is>
      </c>
      <c r="M108" s="6" t="n">
        <v>1</v>
      </c>
      <c r="N108" s="5" t="inlineStr">
        <is>
          <t>Older/annual/low-demand: small lift</t>
        </is>
      </c>
      <c r="O108" s="10" t="inlineStr">
        <is>
          <t>Open</t>
        </is>
      </c>
    </row>
    <row r="109">
      <c r="A109" s="4" t="n">
        <v>105</v>
      </c>
      <c r="B109" s="5" t="inlineStr">
        <is>
          <t>XCOM 2</t>
        </is>
      </c>
      <c r="C109" s="5" t="inlineStr">
        <is>
          <t>PlayStation 4</t>
        </is>
      </c>
      <c r="D109" s="5" t="inlineStr">
        <is>
          <t>Standard</t>
        </is>
      </c>
      <c r="E109" s="5" t="inlineStr">
        <is>
          <t>Used, Good</t>
        </is>
      </c>
      <c r="F109" s="6" t="n">
        <v>2016</v>
      </c>
      <c r="G109" s="5" t="inlineStr">
        <is>
          <t>Strategy</t>
        </is>
      </c>
      <c r="H109" s="7" t="n">
        <v>10</v>
      </c>
      <c r="I109" s="8" t="n">
        <v>12</v>
      </c>
      <c r="J109" s="7">
        <f>I109-H109</f>
        <v/>
      </c>
      <c r="K109" s="9">
        <f>IF(H109=0,0,J109/H109)</f>
        <v/>
      </c>
      <c r="L109" s="5" t="inlineStr">
        <is>
          <t>Active</t>
        </is>
      </c>
      <c r="M109" s="6" t="n">
        <v>3</v>
      </c>
      <c r="N109" s="5" t="inlineStr">
        <is>
          <t>Raised to the $12 floor for ordinary titles</t>
        </is>
      </c>
      <c r="O109" s="10" t="inlineStr">
        <is>
          <t>Open</t>
        </is>
      </c>
    </row>
    <row r="110">
      <c r="A110" s="4" t="n">
        <v>106</v>
      </c>
      <c r="B110" s="5" t="inlineStr">
        <is>
          <t>Yooka-Laylee and the Impossible Lair</t>
        </is>
      </c>
      <c r="C110" s="5" t="inlineStr">
        <is>
          <t>PlayStation 4</t>
        </is>
      </c>
      <c r="D110" s="5" t="inlineStr">
        <is>
          <t>Standard</t>
        </is>
      </c>
      <c r="E110" s="5" t="inlineStr">
        <is>
          <t>Used, Good</t>
        </is>
      </c>
      <c r="F110" s="6" t="n">
        <v>2019</v>
      </c>
      <c r="G110" s="5" t="inlineStr">
        <is>
          <t>Platformer</t>
        </is>
      </c>
      <c r="H110" s="7" t="n">
        <v>10</v>
      </c>
      <c r="I110" s="8" t="n">
        <v>12</v>
      </c>
      <c r="J110" s="7">
        <f>I110-H110</f>
        <v/>
      </c>
      <c r="K110" s="9">
        <f>IF(H110=0,0,J110/H110)</f>
        <v/>
      </c>
      <c r="L110" s="5" t="inlineStr">
        <is>
          <t>Active</t>
        </is>
      </c>
      <c r="M110" s="6" t="n">
        <v>1</v>
      </c>
      <c r="N110" s="5" t="inlineStr">
        <is>
          <t>Raised to the $12 floor for ordinary titles</t>
        </is>
      </c>
      <c r="O110" s="10" t="inlineStr">
        <is>
          <t>Open</t>
        </is>
      </c>
    </row>
    <row r="111">
      <c r="A111" s="4" t="n">
        <v>107</v>
      </c>
      <c r="B111" s="5" t="inlineStr">
        <is>
          <t>Borderlands 3 Super Deluxe Edition (Steelbook Edition)</t>
        </is>
      </c>
      <c r="C111" s="5" t="inlineStr">
        <is>
          <t>PlayStation 4</t>
        </is>
      </c>
      <c r="D111" s="5" t="inlineStr">
        <is>
          <t>Steelbook</t>
        </is>
      </c>
      <c r="E111" s="5" t="inlineStr">
        <is>
          <t>Used, Good</t>
        </is>
      </c>
      <c r="F111" s="6" t="n">
        <v>2019</v>
      </c>
      <c r="G111" s="5" t="inlineStr">
        <is>
          <t>Shooter, RPG</t>
        </is>
      </c>
      <c r="H111" s="7" t="n">
        <v>12</v>
      </c>
      <c r="I111" s="8" t="n">
        <v>12</v>
      </c>
      <c r="J111" s="7">
        <f>I111-H111</f>
        <v/>
      </c>
      <c r="K111" s="9">
        <f>IF(H111=0,0,J111/H111)</f>
        <v/>
      </c>
      <c r="L111" s="5" t="inlineStr">
        <is>
          <t>Active</t>
        </is>
      </c>
      <c r="M111" s="6" t="n">
        <v>1</v>
      </c>
      <c r="N111" s="5" t="inlineStr">
        <is>
          <t>Steelbook: unchanged (collectible)</t>
        </is>
      </c>
      <c r="O111" s="10" t="inlineStr">
        <is>
          <t>Open</t>
        </is>
      </c>
    </row>
    <row r="112">
      <c r="A112" s="4" t="n">
        <v>108</v>
      </c>
      <c r="B112" s="5" t="inlineStr">
        <is>
          <t>Call of Duty: Black Ops III (Steelbook Edition)</t>
        </is>
      </c>
      <c r="C112" s="5" t="inlineStr">
        <is>
          <t>PlayStation 4</t>
        </is>
      </c>
      <c r="D112" s="5" t="inlineStr">
        <is>
          <t>Steelbook</t>
        </is>
      </c>
      <c r="E112" s="5" t="inlineStr">
        <is>
          <t>Used, Good</t>
        </is>
      </c>
      <c r="F112" s="6" t="n">
        <v>2015</v>
      </c>
      <c r="G112" s="5" t="inlineStr">
        <is>
          <t>Shooter</t>
        </is>
      </c>
      <c r="H112" s="7" t="n">
        <v>20</v>
      </c>
      <c r="I112" s="8" t="n">
        <v>20</v>
      </c>
      <c r="J112" s="7">
        <f>I112-H112</f>
        <v/>
      </c>
      <c r="K112" s="9">
        <f>IF(H112=0,0,J112/H112)</f>
        <v/>
      </c>
      <c r="L112" s="5" t="inlineStr">
        <is>
          <t>Active</t>
        </is>
      </c>
      <c r="M112" s="6" t="n">
        <v>1</v>
      </c>
      <c r="N112" s="5" t="inlineStr">
        <is>
          <t>Steelbook: unchanged (collectible)</t>
        </is>
      </c>
      <c r="O112" s="10" t="inlineStr">
        <is>
          <t>Open</t>
        </is>
      </c>
    </row>
    <row r="113">
      <c r="A113" s="4" t="n">
        <v>109</v>
      </c>
      <c r="B113" s="5" t="inlineStr">
        <is>
          <t>Call of Duty: Ghosts (Steelbook Edition)</t>
        </is>
      </c>
      <c r="C113" s="5" t="inlineStr">
        <is>
          <t>PlayStation 4</t>
        </is>
      </c>
      <c r="D113" s="5" t="inlineStr">
        <is>
          <t>Steelbook</t>
        </is>
      </c>
      <c r="E113" s="5" t="inlineStr">
        <is>
          <t>Used, Good</t>
        </is>
      </c>
      <c r="F113" s="6" t="n">
        <v>2013</v>
      </c>
      <c r="G113" s="5" t="inlineStr">
        <is>
          <t>Shooter</t>
        </is>
      </c>
      <c r="H113" s="7" t="n">
        <v>20</v>
      </c>
      <c r="I113" s="8" t="n">
        <v>20</v>
      </c>
      <c r="J113" s="7">
        <f>I113-H113</f>
        <v/>
      </c>
      <c r="K113" s="9">
        <f>IF(H113=0,0,J113/H113)</f>
        <v/>
      </c>
      <c r="L113" s="5" t="inlineStr">
        <is>
          <t>Active</t>
        </is>
      </c>
      <c r="M113" s="6" t="n">
        <v>1</v>
      </c>
      <c r="N113" s="5" t="inlineStr">
        <is>
          <t>Steelbook: unchanged (collectible)</t>
        </is>
      </c>
      <c r="O113" s="10" t="inlineStr">
        <is>
          <t>Open</t>
        </is>
      </c>
    </row>
    <row r="114">
      <c r="A114" s="4" t="n">
        <v>110</v>
      </c>
      <c r="B114" s="5" t="inlineStr">
        <is>
          <t>Cyberpunk 2077 (Steelbook Edition)</t>
        </is>
      </c>
      <c r="C114" s="5" t="inlineStr">
        <is>
          <t>PlayStation 4</t>
        </is>
      </c>
      <c r="D114" s="5" t="inlineStr">
        <is>
          <t>Steelbook</t>
        </is>
      </c>
      <c r="E114" s="5" t="inlineStr">
        <is>
          <t>Used, Good</t>
        </is>
      </c>
      <c r="F114" s="6" t="n">
        <v>2020</v>
      </c>
      <c r="G114" s="5" t="inlineStr">
        <is>
          <t>RPG, Open World</t>
        </is>
      </c>
      <c r="H114" s="7" t="n">
        <v>25</v>
      </c>
      <c r="I114" s="8" t="n">
        <v>25</v>
      </c>
      <c r="J114" s="7">
        <f>I114-H114</f>
        <v/>
      </c>
      <c r="K114" s="9">
        <f>IF(H114=0,0,J114/H114)</f>
        <v/>
      </c>
      <c r="L114" s="5" t="inlineStr">
        <is>
          <t>Active</t>
        </is>
      </c>
      <c r="M114" s="6" t="n">
        <v>1</v>
      </c>
      <c r="N114" s="5" t="inlineStr">
        <is>
          <t>Steelbook: unchanged (collectible)</t>
        </is>
      </c>
      <c r="O114" s="10" t="inlineStr">
        <is>
          <t>Open</t>
        </is>
      </c>
    </row>
    <row r="115">
      <c r="A115" s="4" t="n">
        <v>111</v>
      </c>
      <c r="B115" s="5" t="inlineStr">
        <is>
          <t>Dark Souls III (Steelbook Edition)</t>
        </is>
      </c>
      <c r="C115" s="5" t="inlineStr">
        <is>
          <t>PlayStation 4</t>
        </is>
      </c>
      <c r="D115" s="5" t="inlineStr">
        <is>
          <t>Steelbook</t>
        </is>
      </c>
      <c r="E115" s="5" t="inlineStr">
        <is>
          <t>Used, Good</t>
        </is>
      </c>
      <c r="F115" s="6" t="n">
        <v>2016</v>
      </c>
      <c r="G115" s="5" t="inlineStr">
        <is>
          <t>Action, RPG</t>
        </is>
      </c>
      <c r="H115" s="7" t="n">
        <v>65</v>
      </c>
      <c r="I115" s="8" t="n">
        <v>65</v>
      </c>
      <c r="J115" s="7">
        <f>I115-H115</f>
        <v/>
      </c>
      <c r="K115" s="9">
        <f>IF(H115=0,0,J115/H115)</f>
        <v/>
      </c>
      <c r="L115" s="5" t="inlineStr">
        <is>
          <t>Active</t>
        </is>
      </c>
      <c r="M115" s="6" t="n">
        <v>1</v>
      </c>
      <c r="N115" s="5" t="inlineStr">
        <is>
          <t>Steelbook: unchanged (collectible)</t>
        </is>
      </c>
      <c r="O115" s="10" t="inlineStr">
        <is>
          <t>Open</t>
        </is>
      </c>
    </row>
    <row r="116">
      <c r="A116" s="4" t="n">
        <v>112</v>
      </c>
      <c r="B116" s="5" t="inlineStr">
        <is>
          <t>Death Stranding (Steelbook Edition)</t>
        </is>
      </c>
      <c r="C116" s="5" t="inlineStr">
        <is>
          <t>PlayStation 4</t>
        </is>
      </c>
      <c r="D116" s="5" t="inlineStr">
        <is>
          <t>Steelbook</t>
        </is>
      </c>
      <c r="E116" s="5" t="inlineStr">
        <is>
          <t>Used, Good</t>
        </is>
      </c>
      <c r="F116" s="6" t="n">
        <v>2019</v>
      </c>
      <c r="G116" s="5" t="inlineStr">
        <is>
          <t>Action, Adventure</t>
        </is>
      </c>
      <c r="H116" s="7" t="n">
        <v>25</v>
      </c>
      <c r="I116" s="8" t="n">
        <v>25</v>
      </c>
      <c r="J116" s="7">
        <f>I116-H116</f>
        <v/>
      </c>
      <c r="K116" s="9">
        <f>IF(H116=0,0,J116/H116)</f>
        <v/>
      </c>
      <c r="L116" s="5" t="inlineStr">
        <is>
          <t>Active</t>
        </is>
      </c>
      <c r="M116" s="6" t="n">
        <v>1</v>
      </c>
      <c r="N116" s="5" t="inlineStr">
        <is>
          <t>Steelbook: unchanged (collectible)</t>
        </is>
      </c>
      <c r="O116" s="10" t="inlineStr">
        <is>
          <t>Open</t>
        </is>
      </c>
    </row>
    <row r="117">
      <c r="A117" s="4" t="n">
        <v>113</v>
      </c>
      <c r="B117" s="5" t="inlineStr">
        <is>
          <t>Dissidia Final Fantasy NT (Steelbook Edition)</t>
        </is>
      </c>
      <c r="C117" s="5" t="inlineStr">
        <is>
          <t>PlayStation 4</t>
        </is>
      </c>
      <c r="D117" s="5" t="inlineStr">
        <is>
          <t>Steelbook</t>
        </is>
      </c>
      <c r="E117" s="5" t="inlineStr">
        <is>
          <t>Used, Good</t>
        </is>
      </c>
      <c r="F117" s="6" t="n">
        <v>2018</v>
      </c>
      <c r="G117" s="5" t="inlineStr">
        <is>
          <t>Fighting, RPG</t>
        </is>
      </c>
      <c r="H117" s="7" t="n">
        <v>24</v>
      </c>
      <c r="I117" s="8" t="n">
        <v>24</v>
      </c>
      <c r="J117" s="7">
        <f>I117-H117</f>
        <v/>
      </c>
      <c r="K117" s="9">
        <f>IF(H117=0,0,J117/H117)</f>
        <v/>
      </c>
      <c r="L117" s="5" t="inlineStr">
        <is>
          <t>Active</t>
        </is>
      </c>
      <c r="M117" s="6" t="n">
        <v>1</v>
      </c>
      <c r="N117" s="5" t="inlineStr">
        <is>
          <t>Steelbook: unchanged (collectible)</t>
        </is>
      </c>
      <c r="O117" s="10" t="inlineStr">
        <is>
          <t>Open</t>
        </is>
      </c>
    </row>
    <row r="118">
      <c r="A118" s="4" t="n">
        <v>114</v>
      </c>
      <c r="B118" s="5" t="inlineStr">
        <is>
          <t>Fallout 4 (Steelbook Edition)</t>
        </is>
      </c>
      <c r="C118" s="5" t="inlineStr">
        <is>
          <t>PlayStation 4</t>
        </is>
      </c>
      <c r="D118" s="5" t="inlineStr">
        <is>
          <t>Steelbook</t>
        </is>
      </c>
      <c r="E118" s="5" t="inlineStr">
        <is>
          <t>Used, Good</t>
        </is>
      </c>
      <c r="F118" s="6" t="n">
        <v>2015</v>
      </c>
      <c r="G118" s="5" t="inlineStr">
        <is>
          <t>RPG, Open World</t>
        </is>
      </c>
      <c r="H118" s="7" t="n">
        <v>20</v>
      </c>
      <c r="I118" s="8" t="n">
        <v>20</v>
      </c>
      <c r="J118" s="7">
        <f>I118-H118</f>
        <v/>
      </c>
      <c r="K118" s="9">
        <f>IF(H118=0,0,J118/H118)</f>
        <v/>
      </c>
      <c r="L118" s="5" t="inlineStr">
        <is>
          <t>Active</t>
        </is>
      </c>
      <c r="M118" s="6" t="n">
        <v>1</v>
      </c>
      <c r="N118" s="5" t="inlineStr">
        <is>
          <t>Steelbook: unchanged (collectible)</t>
        </is>
      </c>
      <c r="O118" s="10" t="inlineStr">
        <is>
          <t>Open</t>
        </is>
      </c>
    </row>
    <row r="119">
      <c r="A119" s="4" t="n">
        <v>115</v>
      </c>
      <c r="B119" s="5" t="inlineStr">
        <is>
          <t>Fallout 76 (Steelbook Edition)</t>
        </is>
      </c>
      <c r="C119" s="5" t="inlineStr">
        <is>
          <t>PlayStation 4</t>
        </is>
      </c>
      <c r="D119" s="5" t="inlineStr">
        <is>
          <t>Steelbook</t>
        </is>
      </c>
      <c r="E119" s="5" t="inlineStr">
        <is>
          <t>Used, Good</t>
        </is>
      </c>
      <c r="F119" s="6" t="n">
        <v>2018</v>
      </c>
      <c r="G119" s="5" t="inlineStr">
        <is>
          <t>RPG, Open World</t>
        </is>
      </c>
      <c r="H119" s="7" t="n">
        <v>14</v>
      </c>
      <c r="I119" s="8" t="n">
        <v>14</v>
      </c>
      <c r="J119" s="7">
        <f>I119-H119</f>
        <v/>
      </c>
      <c r="K119" s="9">
        <f>IF(H119=0,0,J119/H119)</f>
        <v/>
      </c>
      <c r="L119" s="5" t="inlineStr">
        <is>
          <t>Active</t>
        </is>
      </c>
      <c r="M119" s="6" t="n">
        <v>1</v>
      </c>
      <c r="N119" s="5" t="inlineStr">
        <is>
          <t>Steelbook: unchanged (collectible)</t>
        </is>
      </c>
      <c r="O119" s="10" t="inlineStr">
        <is>
          <t>Open</t>
        </is>
      </c>
    </row>
    <row r="120">
      <c r="A120" s="4" t="n">
        <v>116</v>
      </c>
      <c r="B120" s="5" t="inlineStr">
        <is>
          <t>Final Fantasy XV Deluxe Edition (Steelbook Edition)</t>
        </is>
      </c>
      <c r="C120" s="5" t="inlineStr">
        <is>
          <t>PlayStation 4</t>
        </is>
      </c>
      <c r="D120" s="5" t="inlineStr">
        <is>
          <t>Steelbook</t>
        </is>
      </c>
      <c r="E120" s="5" t="inlineStr">
        <is>
          <t>Used, Good</t>
        </is>
      </c>
      <c r="F120" s="6" t="n">
        <v>2016</v>
      </c>
      <c r="G120" s="5" t="inlineStr">
        <is>
          <t>RPG</t>
        </is>
      </c>
      <c r="H120" s="7" t="n">
        <v>20</v>
      </c>
      <c r="I120" s="8" t="n">
        <v>20</v>
      </c>
      <c r="J120" s="7">
        <f>I120-H120</f>
        <v/>
      </c>
      <c r="K120" s="9">
        <f>IF(H120=0,0,J120/H120)</f>
        <v/>
      </c>
      <c r="L120" s="5" t="inlineStr">
        <is>
          <t>Active</t>
        </is>
      </c>
      <c r="M120" s="6" t="n">
        <v>1</v>
      </c>
      <c r="N120" s="5" t="inlineStr">
        <is>
          <t>Steelbook: unchanged (collectible)</t>
        </is>
      </c>
      <c r="O120" s="10" t="inlineStr">
        <is>
          <t>Open</t>
        </is>
      </c>
    </row>
    <row r="121">
      <c r="A121" s="4" t="n">
        <v>117</v>
      </c>
      <c r="B121" s="5" t="inlineStr">
        <is>
          <t>Hitman: The Complete First Season (Steelbook Edition)</t>
        </is>
      </c>
      <c r="C121" s="5" t="inlineStr">
        <is>
          <t>PlayStation 4</t>
        </is>
      </c>
      <c r="D121" s="5" t="inlineStr">
        <is>
          <t>Steelbook</t>
        </is>
      </c>
      <c r="E121" s="5" t="inlineStr">
        <is>
          <t>Used, Good</t>
        </is>
      </c>
      <c r="F121" s="6" t="n">
        <v>2017</v>
      </c>
      <c r="G121" s="5" t="inlineStr">
        <is>
          <t>Action</t>
        </is>
      </c>
      <c r="H121" s="7" t="n">
        <v>14</v>
      </c>
      <c r="I121" s="8" t="n">
        <v>14</v>
      </c>
      <c r="J121" s="7">
        <f>I121-H121</f>
        <v/>
      </c>
      <c r="K121" s="9">
        <f>IF(H121=0,0,J121/H121)</f>
        <v/>
      </c>
      <c r="L121" s="5" t="inlineStr">
        <is>
          <t>Active</t>
        </is>
      </c>
      <c r="M121" s="6" t="n">
        <v>1</v>
      </c>
      <c r="N121" s="5" t="inlineStr">
        <is>
          <t>Steelbook: unchanged (collectible)</t>
        </is>
      </c>
      <c r="O121" s="10" t="inlineStr">
        <is>
          <t>Open</t>
        </is>
      </c>
    </row>
    <row r="122">
      <c r="A122" s="4" t="n">
        <v>118</v>
      </c>
      <c r="B122" s="5" t="inlineStr">
        <is>
          <t>MLB The Show 20 (Steelbook Edition)</t>
        </is>
      </c>
      <c r="C122" s="5" t="inlineStr">
        <is>
          <t>PlayStation 4</t>
        </is>
      </c>
      <c r="D122" s="5" t="inlineStr">
        <is>
          <t>Steelbook</t>
        </is>
      </c>
      <c r="E122" s="5" t="inlineStr">
        <is>
          <t>Used, Good</t>
        </is>
      </c>
      <c r="F122" s="6" t="n">
        <v>2020</v>
      </c>
      <c r="G122" s="5" t="inlineStr">
        <is>
          <t>Sports</t>
        </is>
      </c>
      <c r="H122" s="7" t="n">
        <v>10</v>
      </c>
      <c r="I122" s="8" t="n">
        <v>10</v>
      </c>
      <c r="J122" s="7">
        <f>I122-H122</f>
        <v/>
      </c>
      <c r="K122" s="9">
        <f>IF(H122=0,0,J122/H122)</f>
        <v/>
      </c>
      <c r="L122" s="5" t="inlineStr">
        <is>
          <t>Active</t>
        </is>
      </c>
      <c r="M122" s="6" t="n">
        <v>1</v>
      </c>
      <c r="N122" s="5" t="inlineStr">
        <is>
          <t>Steelbook: unchanged (collectible)</t>
        </is>
      </c>
      <c r="O122" s="10" t="inlineStr">
        <is>
          <t>Open</t>
        </is>
      </c>
    </row>
    <row r="123">
      <c r="A123" s="4" t="n">
        <v>119</v>
      </c>
      <c r="B123" s="5" t="inlineStr">
        <is>
          <t>Monster Hunter World: Iceborne (Steelbook Edition)</t>
        </is>
      </c>
      <c r="C123" s="5" t="inlineStr">
        <is>
          <t>PlayStation 4</t>
        </is>
      </c>
      <c r="D123" s="5" t="inlineStr">
        <is>
          <t>Steelbook</t>
        </is>
      </c>
      <c r="E123" s="5" t="inlineStr">
        <is>
          <t>Used, Good</t>
        </is>
      </c>
      <c r="F123" s="6" t="n">
        <v>2019</v>
      </c>
      <c r="G123" s="5" t="inlineStr">
        <is>
          <t>Action, RPG</t>
        </is>
      </c>
      <c r="H123" s="7" t="n">
        <v>42</v>
      </c>
      <c r="I123" s="8" t="n">
        <v>42</v>
      </c>
      <c r="J123" s="7">
        <f>I123-H123</f>
        <v/>
      </c>
      <c r="K123" s="9">
        <f>IF(H123=0,0,J123/H123)</f>
        <v/>
      </c>
      <c r="L123" s="5" t="inlineStr">
        <is>
          <t>Active</t>
        </is>
      </c>
      <c r="M123" s="6" t="n">
        <v>1</v>
      </c>
      <c r="N123" s="5" t="inlineStr">
        <is>
          <t>Steelbook: unchanged (collectible)</t>
        </is>
      </c>
      <c r="O123" s="10" t="inlineStr">
        <is>
          <t>Open</t>
        </is>
      </c>
    </row>
    <row r="124">
      <c r="A124" s="4" t="n">
        <v>120</v>
      </c>
      <c r="B124" s="5" t="inlineStr">
        <is>
          <t>Red Dead Redemption II (Steelbook Edition)</t>
        </is>
      </c>
      <c r="C124" s="5" t="inlineStr">
        <is>
          <t>PlayStation 4</t>
        </is>
      </c>
      <c r="D124" s="5" t="inlineStr">
        <is>
          <t>Steelbook</t>
        </is>
      </c>
      <c r="E124" s="5" t="inlineStr">
        <is>
          <t>Used, Good</t>
        </is>
      </c>
      <c r="F124" s="6" t="n">
        <v>2018</v>
      </c>
      <c r="G124" s="5" t="inlineStr">
        <is>
          <t>Action, Open World</t>
        </is>
      </c>
      <c r="H124" s="7" t="n">
        <v>38</v>
      </c>
      <c r="I124" s="8" t="n">
        <v>38</v>
      </c>
      <c r="J124" s="7">
        <f>I124-H124</f>
        <v/>
      </c>
      <c r="K124" s="9">
        <f>IF(H124=0,0,J124/H124)</f>
        <v/>
      </c>
      <c r="L124" s="5" t="inlineStr">
        <is>
          <t>Active</t>
        </is>
      </c>
      <c r="M124" s="6" t="n">
        <v>1</v>
      </c>
      <c r="N124" s="5" t="inlineStr">
        <is>
          <t>Steelbook: unchanged (collectible)</t>
        </is>
      </c>
      <c r="O124" s="10" t="inlineStr">
        <is>
          <t>Open</t>
        </is>
      </c>
    </row>
    <row r="125">
      <c r="A125" s="4" t="n">
        <v>121</v>
      </c>
      <c r="B125" s="5" t="inlineStr">
        <is>
          <t>Rise of the Tomb Raider: 20 Year Celebration (Steelbook Edition)</t>
        </is>
      </c>
      <c r="C125" s="5" t="inlineStr">
        <is>
          <t>PlayStation 4</t>
        </is>
      </c>
      <c r="D125" s="5" t="inlineStr">
        <is>
          <t>Steelbook</t>
        </is>
      </c>
      <c r="E125" s="5" t="inlineStr">
        <is>
          <t>Used, Good</t>
        </is>
      </c>
      <c r="F125" s="6" t="n">
        <v>2016</v>
      </c>
      <c r="G125" s="5" t="inlineStr">
        <is>
          <t>Action, Adventure</t>
        </is>
      </c>
      <c r="H125" s="7" t="n">
        <v>35</v>
      </c>
      <c r="I125" s="8" t="n">
        <v>35</v>
      </c>
      <c r="J125" s="7">
        <f>I125-H125</f>
        <v/>
      </c>
      <c r="K125" s="9">
        <f>IF(H125=0,0,J125/H125)</f>
        <v/>
      </c>
      <c r="L125" s="5" t="inlineStr">
        <is>
          <t>Active</t>
        </is>
      </c>
      <c r="M125" s="6" t="n">
        <v>1</v>
      </c>
      <c r="N125" s="5" t="inlineStr">
        <is>
          <t>Steelbook: unchanged (collectible)</t>
        </is>
      </c>
      <c r="O125" s="10" t="inlineStr">
        <is>
          <t>Open</t>
        </is>
      </c>
    </row>
    <row r="126">
      <c r="A126" s="4" t="n">
        <v>122</v>
      </c>
      <c r="B126" s="5" t="inlineStr">
        <is>
          <t>The Last of Us Part II (Steelbook Edition)</t>
        </is>
      </c>
      <c r="C126" s="5" t="inlineStr">
        <is>
          <t>PlayStation 4</t>
        </is>
      </c>
      <c r="D126" s="5" t="inlineStr">
        <is>
          <t>Steelbook</t>
        </is>
      </c>
      <c r="E126" s="5" t="inlineStr">
        <is>
          <t>Used, Good</t>
        </is>
      </c>
      <c r="F126" s="6" t="n">
        <v>2020</v>
      </c>
      <c r="G126" s="5" t="inlineStr">
        <is>
          <t>Action, Horror</t>
        </is>
      </c>
      <c r="H126" s="7" t="n">
        <v>40</v>
      </c>
      <c r="I126" s="8" t="n">
        <v>40</v>
      </c>
      <c r="J126" s="7">
        <f>I126-H126</f>
        <v/>
      </c>
      <c r="K126" s="9">
        <f>IF(H126=0,0,J126/H126)</f>
        <v/>
      </c>
      <c r="L126" s="5" t="inlineStr">
        <is>
          <t>Active</t>
        </is>
      </c>
      <c r="M126" s="6" t="n">
        <v>1</v>
      </c>
      <c r="N126" s="5" t="inlineStr">
        <is>
          <t>Steelbook: unchanged (collectible)</t>
        </is>
      </c>
      <c r="O126" s="10" t="inlineStr">
        <is>
          <t>Open</t>
        </is>
      </c>
    </row>
    <row r="127">
      <c r="A127" s="4" t="n">
        <v>123</v>
      </c>
      <c r="B127" s="5" t="inlineStr">
        <is>
          <t>Watch Dogs (Steelbook Edition)</t>
        </is>
      </c>
      <c r="C127" s="5" t="inlineStr">
        <is>
          <t>PlayStation 4</t>
        </is>
      </c>
      <c r="D127" s="5" t="inlineStr">
        <is>
          <t>Steelbook</t>
        </is>
      </c>
      <c r="E127" s="5" t="inlineStr">
        <is>
          <t>Used, Good</t>
        </is>
      </c>
      <c r="F127" s="6" t="n">
        <v>2014</v>
      </c>
      <c r="G127" s="5" t="inlineStr">
        <is>
          <t>Action, Open World</t>
        </is>
      </c>
      <c r="H127" s="7" t="n">
        <v>20</v>
      </c>
      <c r="I127" s="8" t="n">
        <v>20</v>
      </c>
      <c r="J127" s="7">
        <f>I127-H127</f>
        <v/>
      </c>
      <c r="K127" s="9">
        <f>IF(H127=0,0,J127/H127)</f>
        <v/>
      </c>
      <c r="L127" s="5" t="inlineStr">
        <is>
          <t>Active</t>
        </is>
      </c>
      <c r="M127" s="6" t="n">
        <v>1</v>
      </c>
      <c r="N127" s="5" t="inlineStr">
        <is>
          <t>Steelbook: unchanged (collectible)</t>
        </is>
      </c>
      <c r="O127" s="10" t="inlineStr">
        <is>
          <t>Open</t>
        </is>
      </c>
    </row>
    <row r="128">
      <c r="A128" s="4" t="n">
        <v>124</v>
      </c>
      <c r="B128" s="5" t="inlineStr">
        <is>
          <t>Watch Dogs 2 (Steelbook Edition)</t>
        </is>
      </c>
      <c r="C128" s="5" t="inlineStr">
        <is>
          <t>PlayStation 4</t>
        </is>
      </c>
      <c r="D128" s="5" t="inlineStr">
        <is>
          <t>Steelbook</t>
        </is>
      </c>
      <c r="E128" s="5" t="inlineStr">
        <is>
          <t>Used, Good</t>
        </is>
      </c>
      <c r="F128" s="6" t="n">
        <v>2016</v>
      </c>
      <c r="G128" s="5" t="inlineStr">
        <is>
          <t>Action, Open World</t>
        </is>
      </c>
      <c r="H128" s="7" t="n">
        <v>15</v>
      </c>
      <c r="I128" s="8" t="n">
        <v>15</v>
      </c>
      <c r="J128" s="7">
        <f>I128-H128</f>
        <v/>
      </c>
      <c r="K128" s="9">
        <f>IF(H128=0,0,J128/H128)</f>
        <v/>
      </c>
      <c r="L128" s="5" t="inlineStr">
        <is>
          <t>Active</t>
        </is>
      </c>
      <c r="M128" s="6" t="n">
        <v>1</v>
      </c>
      <c r="N128" s="5" t="inlineStr">
        <is>
          <t>Steelbook: unchanged (collectible)</t>
        </is>
      </c>
      <c r="O128" s="10" t="inlineStr">
        <is>
          <t>Open</t>
        </is>
      </c>
    </row>
    <row r="129">
      <c r="A129" s="11" t="n"/>
      <c r="B129" s="11" t="inlineStr">
        <is>
          <t>Totals / averages</t>
        </is>
      </c>
      <c r="C129" s="11" t="n"/>
      <c r="D129" s="11" t="n"/>
      <c r="E129" s="11" t="n"/>
      <c r="F129" s="11" t="n"/>
      <c r="G129" s="11" t="n"/>
      <c r="H129" s="12">
        <f>AVERAGE(H5:H128)</f>
        <v/>
      </c>
      <c r="I129" s="12">
        <f>AVERAGE(I5:I128)</f>
        <v/>
      </c>
      <c r="J129" s="12">
        <f>I129-H129</f>
        <v/>
      </c>
      <c r="K129" s="13">
        <f>IF(H129=0,0,J129/H129)</f>
        <v/>
      </c>
      <c r="L129" s="11" t="n"/>
      <c r="M129" s="11">
        <f>SUM(M5:M128)</f>
        <v/>
      </c>
      <c r="N129" s="11" t="n"/>
      <c r="O129" s="11" t="n"/>
    </row>
  </sheetData>
  <autoFilter ref="A4:O128"/>
  <conditionalFormatting sqref="A5:O128">
    <cfRule type="expression" priority="1" dxfId="0">
      <formula>$J5&gt;0</formula>
    </cfRule>
  </conditionalFormatting>
  <conditionalFormatting sqref="J5:J128">
    <cfRule type="cellIs" priority="2" operator="greaterThan" dxfId="1">
      <formula>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  <hyperlink xmlns:r="http://schemas.openxmlformats.org/officeDocument/2006/relationships" ref="O23" r:id="rId19"/>
    <hyperlink xmlns:r="http://schemas.openxmlformats.org/officeDocument/2006/relationships" ref="O24" r:id="rId20"/>
    <hyperlink xmlns:r="http://schemas.openxmlformats.org/officeDocument/2006/relationships" ref="O25" r:id="rId21"/>
    <hyperlink xmlns:r="http://schemas.openxmlformats.org/officeDocument/2006/relationships" ref="O26" r:id="rId22"/>
    <hyperlink xmlns:r="http://schemas.openxmlformats.org/officeDocument/2006/relationships" ref="O27" r:id="rId23"/>
    <hyperlink xmlns:r="http://schemas.openxmlformats.org/officeDocument/2006/relationships" ref="O28" r:id="rId24"/>
    <hyperlink xmlns:r="http://schemas.openxmlformats.org/officeDocument/2006/relationships" ref="O29" r:id="rId25"/>
    <hyperlink xmlns:r="http://schemas.openxmlformats.org/officeDocument/2006/relationships" ref="O30" r:id="rId26"/>
    <hyperlink xmlns:r="http://schemas.openxmlformats.org/officeDocument/2006/relationships" ref="O31" r:id="rId27"/>
    <hyperlink xmlns:r="http://schemas.openxmlformats.org/officeDocument/2006/relationships" ref="O32" r:id="rId28"/>
    <hyperlink xmlns:r="http://schemas.openxmlformats.org/officeDocument/2006/relationships" ref="O33" r:id="rId29"/>
    <hyperlink xmlns:r="http://schemas.openxmlformats.org/officeDocument/2006/relationships" ref="O34" r:id="rId30"/>
    <hyperlink xmlns:r="http://schemas.openxmlformats.org/officeDocument/2006/relationships" ref="O35" r:id="rId31"/>
    <hyperlink xmlns:r="http://schemas.openxmlformats.org/officeDocument/2006/relationships" ref="O36" r:id="rId32"/>
    <hyperlink xmlns:r="http://schemas.openxmlformats.org/officeDocument/2006/relationships" ref="O37" r:id="rId33"/>
    <hyperlink xmlns:r="http://schemas.openxmlformats.org/officeDocument/2006/relationships" ref="O38" r:id="rId34"/>
    <hyperlink xmlns:r="http://schemas.openxmlformats.org/officeDocument/2006/relationships" ref="O39" r:id="rId35"/>
    <hyperlink xmlns:r="http://schemas.openxmlformats.org/officeDocument/2006/relationships" ref="O40" r:id="rId36"/>
    <hyperlink xmlns:r="http://schemas.openxmlformats.org/officeDocument/2006/relationships" ref="O41" r:id="rId37"/>
    <hyperlink xmlns:r="http://schemas.openxmlformats.org/officeDocument/2006/relationships" ref="O42" r:id="rId38"/>
    <hyperlink xmlns:r="http://schemas.openxmlformats.org/officeDocument/2006/relationships" ref="O43" r:id="rId39"/>
    <hyperlink xmlns:r="http://schemas.openxmlformats.org/officeDocument/2006/relationships" ref="O44" r:id="rId40"/>
    <hyperlink xmlns:r="http://schemas.openxmlformats.org/officeDocument/2006/relationships" ref="O45" r:id="rId41"/>
    <hyperlink xmlns:r="http://schemas.openxmlformats.org/officeDocument/2006/relationships" ref="O46" r:id="rId42"/>
    <hyperlink xmlns:r="http://schemas.openxmlformats.org/officeDocument/2006/relationships" ref="O47" r:id="rId43"/>
    <hyperlink xmlns:r="http://schemas.openxmlformats.org/officeDocument/2006/relationships" ref="O48" r:id="rId44"/>
    <hyperlink xmlns:r="http://schemas.openxmlformats.org/officeDocument/2006/relationships" ref="O49" r:id="rId45"/>
    <hyperlink xmlns:r="http://schemas.openxmlformats.org/officeDocument/2006/relationships" ref="O50" r:id="rId46"/>
    <hyperlink xmlns:r="http://schemas.openxmlformats.org/officeDocument/2006/relationships" ref="O51" r:id="rId47"/>
    <hyperlink xmlns:r="http://schemas.openxmlformats.org/officeDocument/2006/relationships" ref="O52" r:id="rId48"/>
    <hyperlink xmlns:r="http://schemas.openxmlformats.org/officeDocument/2006/relationships" ref="O53" r:id="rId49"/>
    <hyperlink xmlns:r="http://schemas.openxmlformats.org/officeDocument/2006/relationships" ref="O54" r:id="rId50"/>
    <hyperlink xmlns:r="http://schemas.openxmlformats.org/officeDocument/2006/relationships" ref="O55" r:id="rId51"/>
    <hyperlink xmlns:r="http://schemas.openxmlformats.org/officeDocument/2006/relationships" ref="O56" r:id="rId52"/>
    <hyperlink xmlns:r="http://schemas.openxmlformats.org/officeDocument/2006/relationships" ref="O57" r:id="rId53"/>
    <hyperlink xmlns:r="http://schemas.openxmlformats.org/officeDocument/2006/relationships" ref="O58" r:id="rId54"/>
    <hyperlink xmlns:r="http://schemas.openxmlformats.org/officeDocument/2006/relationships" ref="O59" r:id="rId55"/>
    <hyperlink xmlns:r="http://schemas.openxmlformats.org/officeDocument/2006/relationships" ref="O60" r:id="rId56"/>
    <hyperlink xmlns:r="http://schemas.openxmlformats.org/officeDocument/2006/relationships" ref="O61" r:id="rId57"/>
    <hyperlink xmlns:r="http://schemas.openxmlformats.org/officeDocument/2006/relationships" ref="O62" r:id="rId58"/>
    <hyperlink xmlns:r="http://schemas.openxmlformats.org/officeDocument/2006/relationships" ref="O63" r:id="rId59"/>
    <hyperlink xmlns:r="http://schemas.openxmlformats.org/officeDocument/2006/relationships" ref="O64" r:id="rId60"/>
    <hyperlink xmlns:r="http://schemas.openxmlformats.org/officeDocument/2006/relationships" ref="O65" r:id="rId61"/>
    <hyperlink xmlns:r="http://schemas.openxmlformats.org/officeDocument/2006/relationships" ref="O66" r:id="rId62"/>
    <hyperlink xmlns:r="http://schemas.openxmlformats.org/officeDocument/2006/relationships" ref="O67" r:id="rId63"/>
    <hyperlink xmlns:r="http://schemas.openxmlformats.org/officeDocument/2006/relationships" ref="O68" r:id="rId64"/>
    <hyperlink xmlns:r="http://schemas.openxmlformats.org/officeDocument/2006/relationships" ref="O69" r:id="rId65"/>
    <hyperlink xmlns:r="http://schemas.openxmlformats.org/officeDocument/2006/relationships" ref="O70" r:id="rId66"/>
    <hyperlink xmlns:r="http://schemas.openxmlformats.org/officeDocument/2006/relationships" ref="O71" r:id="rId67"/>
    <hyperlink xmlns:r="http://schemas.openxmlformats.org/officeDocument/2006/relationships" ref="O72" r:id="rId68"/>
    <hyperlink xmlns:r="http://schemas.openxmlformats.org/officeDocument/2006/relationships" ref="O73" r:id="rId69"/>
    <hyperlink xmlns:r="http://schemas.openxmlformats.org/officeDocument/2006/relationships" ref="O74" r:id="rId70"/>
    <hyperlink xmlns:r="http://schemas.openxmlformats.org/officeDocument/2006/relationships" ref="O75" r:id="rId71"/>
    <hyperlink xmlns:r="http://schemas.openxmlformats.org/officeDocument/2006/relationships" ref="O76" r:id="rId72"/>
    <hyperlink xmlns:r="http://schemas.openxmlformats.org/officeDocument/2006/relationships" ref="O77" r:id="rId73"/>
    <hyperlink xmlns:r="http://schemas.openxmlformats.org/officeDocument/2006/relationships" ref="O78" r:id="rId74"/>
    <hyperlink xmlns:r="http://schemas.openxmlformats.org/officeDocument/2006/relationships" ref="O79" r:id="rId75"/>
    <hyperlink xmlns:r="http://schemas.openxmlformats.org/officeDocument/2006/relationships" ref="O80" r:id="rId76"/>
    <hyperlink xmlns:r="http://schemas.openxmlformats.org/officeDocument/2006/relationships" ref="O81" r:id="rId77"/>
    <hyperlink xmlns:r="http://schemas.openxmlformats.org/officeDocument/2006/relationships" ref="O82" r:id="rId78"/>
    <hyperlink xmlns:r="http://schemas.openxmlformats.org/officeDocument/2006/relationships" ref="O83" r:id="rId79"/>
    <hyperlink xmlns:r="http://schemas.openxmlformats.org/officeDocument/2006/relationships" ref="O84" r:id="rId80"/>
    <hyperlink xmlns:r="http://schemas.openxmlformats.org/officeDocument/2006/relationships" ref="O85" r:id="rId81"/>
    <hyperlink xmlns:r="http://schemas.openxmlformats.org/officeDocument/2006/relationships" ref="O86" r:id="rId82"/>
    <hyperlink xmlns:r="http://schemas.openxmlformats.org/officeDocument/2006/relationships" ref="O87" r:id="rId83"/>
    <hyperlink xmlns:r="http://schemas.openxmlformats.org/officeDocument/2006/relationships" ref="O88" r:id="rId84"/>
    <hyperlink xmlns:r="http://schemas.openxmlformats.org/officeDocument/2006/relationships" ref="O89" r:id="rId85"/>
    <hyperlink xmlns:r="http://schemas.openxmlformats.org/officeDocument/2006/relationships" ref="O90" r:id="rId86"/>
    <hyperlink xmlns:r="http://schemas.openxmlformats.org/officeDocument/2006/relationships" ref="O91" r:id="rId87"/>
    <hyperlink xmlns:r="http://schemas.openxmlformats.org/officeDocument/2006/relationships" ref="O92" r:id="rId88"/>
    <hyperlink xmlns:r="http://schemas.openxmlformats.org/officeDocument/2006/relationships" ref="O93" r:id="rId89"/>
    <hyperlink xmlns:r="http://schemas.openxmlformats.org/officeDocument/2006/relationships" ref="O94" r:id="rId90"/>
    <hyperlink xmlns:r="http://schemas.openxmlformats.org/officeDocument/2006/relationships" ref="O95" r:id="rId91"/>
    <hyperlink xmlns:r="http://schemas.openxmlformats.org/officeDocument/2006/relationships" ref="O96" r:id="rId92"/>
    <hyperlink xmlns:r="http://schemas.openxmlformats.org/officeDocument/2006/relationships" ref="O97" r:id="rId93"/>
    <hyperlink xmlns:r="http://schemas.openxmlformats.org/officeDocument/2006/relationships" ref="O98" r:id="rId94"/>
    <hyperlink xmlns:r="http://schemas.openxmlformats.org/officeDocument/2006/relationships" ref="O99" r:id="rId95"/>
    <hyperlink xmlns:r="http://schemas.openxmlformats.org/officeDocument/2006/relationships" ref="O100" r:id="rId96"/>
    <hyperlink xmlns:r="http://schemas.openxmlformats.org/officeDocument/2006/relationships" ref="O101" r:id="rId97"/>
    <hyperlink xmlns:r="http://schemas.openxmlformats.org/officeDocument/2006/relationships" ref="O102" r:id="rId98"/>
    <hyperlink xmlns:r="http://schemas.openxmlformats.org/officeDocument/2006/relationships" ref="O103" r:id="rId99"/>
    <hyperlink xmlns:r="http://schemas.openxmlformats.org/officeDocument/2006/relationships" ref="O104" r:id="rId100"/>
    <hyperlink xmlns:r="http://schemas.openxmlformats.org/officeDocument/2006/relationships" ref="O105" r:id="rId101"/>
    <hyperlink xmlns:r="http://schemas.openxmlformats.org/officeDocument/2006/relationships" ref="O106" r:id="rId102"/>
    <hyperlink xmlns:r="http://schemas.openxmlformats.org/officeDocument/2006/relationships" ref="O107" r:id="rId103"/>
    <hyperlink xmlns:r="http://schemas.openxmlformats.org/officeDocument/2006/relationships" ref="O108" r:id="rId104"/>
    <hyperlink xmlns:r="http://schemas.openxmlformats.org/officeDocument/2006/relationships" ref="O109" r:id="rId105"/>
    <hyperlink xmlns:r="http://schemas.openxmlformats.org/officeDocument/2006/relationships" ref="O110" r:id="rId106"/>
    <hyperlink xmlns:r="http://schemas.openxmlformats.org/officeDocument/2006/relationships" ref="O111" r:id="rId107"/>
    <hyperlink xmlns:r="http://schemas.openxmlformats.org/officeDocument/2006/relationships" ref="O112" r:id="rId108"/>
    <hyperlink xmlns:r="http://schemas.openxmlformats.org/officeDocument/2006/relationships" ref="O113" r:id="rId109"/>
    <hyperlink xmlns:r="http://schemas.openxmlformats.org/officeDocument/2006/relationships" ref="O114" r:id="rId110"/>
    <hyperlink xmlns:r="http://schemas.openxmlformats.org/officeDocument/2006/relationships" ref="O115" r:id="rId111"/>
    <hyperlink xmlns:r="http://schemas.openxmlformats.org/officeDocument/2006/relationships" ref="O116" r:id="rId112"/>
    <hyperlink xmlns:r="http://schemas.openxmlformats.org/officeDocument/2006/relationships" ref="O117" r:id="rId113"/>
    <hyperlink xmlns:r="http://schemas.openxmlformats.org/officeDocument/2006/relationships" ref="O118" r:id="rId114"/>
    <hyperlink xmlns:r="http://schemas.openxmlformats.org/officeDocument/2006/relationships" ref="O119" r:id="rId115"/>
    <hyperlink xmlns:r="http://schemas.openxmlformats.org/officeDocument/2006/relationships" ref="O120" r:id="rId116"/>
    <hyperlink xmlns:r="http://schemas.openxmlformats.org/officeDocument/2006/relationships" ref="O121" r:id="rId117"/>
    <hyperlink xmlns:r="http://schemas.openxmlformats.org/officeDocument/2006/relationships" ref="O122" r:id="rId118"/>
    <hyperlink xmlns:r="http://schemas.openxmlformats.org/officeDocument/2006/relationships" ref="O123" r:id="rId119"/>
    <hyperlink xmlns:r="http://schemas.openxmlformats.org/officeDocument/2006/relationships" ref="O124" r:id="rId120"/>
    <hyperlink xmlns:r="http://schemas.openxmlformats.org/officeDocument/2006/relationships" ref="O125" r:id="rId121"/>
    <hyperlink xmlns:r="http://schemas.openxmlformats.org/officeDocument/2006/relationships" ref="O126" r:id="rId122"/>
    <hyperlink xmlns:r="http://schemas.openxmlformats.org/officeDocument/2006/relationships" ref="O127" r:id="rId123"/>
    <hyperlink xmlns:r="http://schemas.openxmlformats.org/officeDocument/2006/relationships" ref="O128" r:id="rId1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Price summary</t>
        </is>
      </c>
    </row>
    <row r="2">
      <c r="A2" s="2" t="inlineStr">
        <is>
          <t>Live formulas: they follow the New price column on the Price list sheet.</t>
        </is>
      </c>
    </row>
    <row r="4">
      <c r="A4" s="14" t="inlineStr"/>
      <c r="B4" s="14" t="inlineStr">
        <is>
          <t>Games</t>
        </is>
      </c>
      <c r="C4" s="14" t="inlineStr">
        <is>
          <t>Average before</t>
        </is>
      </c>
      <c r="D4" s="14" t="inlineStr">
        <is>
          <t>Average after</t>
        </is>
      </c>
      <c r="E4" s="14" t="inlineStr">
        <is>
          <t>Lowest</t>
        </is>
      </c>
      <c r="F4" s="14" t="inlineStr">
        <is>
          <t>Highest</t>
        </is>
      </c>
    </row>
    <row r="5">
      <c r="A5" s="15" t="inlineStr">
        <is>
          <t>Standard editions</t>
        </is>
      </c>
      <c r="B5">
        <f>COUNTIFS('Price list'!$D$5:$D$128,"&lt;&gt;Steelbook")</f>
        <v/>
      </c>
      <c r="C5" s="16">
        <f>AVERAGEIFS('Price list'!$H$5:$H$128,'Price list'!$D$5:$D$128,"&lt;&gt;Steelbook")</f>
        <v/>
      </c>
      <c r="D5" s="16">
        <f>AVERAGEIFS('Price list'!$I$5:$I$128,'Price list'!$D$5:$D$128,"&lt;&gt;Steelbook")</f>
        <v/>
      </c>
      <c r="E5" s="17">
        <f>MINIFS('Price list'!$I$5:$I$128,'Price list'!$D$5:$D$128,"&lt;&gt;Steelbook")</f>
        <v/>
      </c>
      <c r="F5" s="17">
        <f>MAXIFS('Price list'!$I$5:$I$128,'Price list'!$D$5:$D$128,"&lt;&gt;Steelbook")</f>
        <v/>
      </c>
    </row>
    <row r="6">
      <c r="A6" s="15" t="inlineStr">
        <is>
          <t>Steelbook editions</t>
        </is>
      </c>
      <c r="B6">
        <f>COUNTIFS('Price list'!$D$5:$D$128,"Steelbook")</f>
        <v/>
      </c>
      <c r="C6" s="16">
        <f>AVERAGEIFS('Price list'!$H$5:$H$128,'Price list'!$D$5:$D$128,"Steelbook")</f>
        <v/>
      </c>
      <c r="D6" s="16">
        <f>AVERAGEIFS('Price list'!$I$5:$I$128,'Price list'!$D$5:$D$128,"Steelbook")</f>
        <v/>
      </c>
      <c r="E6" s="17">
        <f>MINIFS('Price list'!$I$5:$I$128,'Price list'!$D$5:$D$128,"Steelbook")</f>
        <v/>
      </c>
      <c r="F6" s="17">
        <f>MAXIFS('Price list'!$I$5:$I$128,'Price list'!$D$5:$D$128,"Steelbook")</f>
        <v/>
      </c>
    </row>
    <row r="7">
      <c r="A7" s="15" t="inlineStr">
        <is>
          <t>All games</t>
        </is>
      </c>
      <c r="B7">
        <f>COUNTIFS('Price list'!$D$5:$D$128,"*")</f>
        <v/>
      </c>
      <c r="C7" s="16">
        <f>AVERAGEIFS('Price list'!$H$5:$H$128,'Price list'!$D$5:$D$128,"*")</f>
        <v/>
      </c>
      <c r="D7" s="16">
        <f>AVERAGEIFS('Price list'!$I$5:$I$128,'Price list'!$D$5:$D$128,"*")</f>
        <v/>
      </c>
      <c r="E7" s="17">
        <f>MIN('Price list'!$I$5:$I$128)</f>
        <v/>
      </c>
      <c r="F7" s="17">
        <f>MAX('Price list'!$I$5:$I$128)</f>
        <v/>
      </c>
    </row>
    <row r="10">
      <c r="A10" s="18" t="inlineStr">
        <is>
          <t>Standard games by price band</t>
        </is>
      </c>
    </row>
    <row r="11">
      <c r="A11" s="14" t="inlineStr">
        <is>
          <t>Band</t>
        </is>
      </c>
      <c r="B11" s="14" t="inlineStr">
        <is>
          <t>Games before</t>
        </is>
      </c>
      <c r="C11" s="14" t="inlineStr">
        <is>
          <t>Games after</t>
        </is>
      </c>
    </row>
    <row r="12">
      <c r="A12" t="inlineStr">
        <is>
          <t>Under $10</t>
        </is>
      </c>
      <c r="B12">
        <f>COUNTIFS('Price list'!$D$5:$D$128,"&lt;&gt;Steelbook",'Price list'!$H$5:$H$128,"&gt;=0",'Price list'!$H$5:$H$128,"&lt;10")</f>
        <v/>
      </c>
      <c r="C12">
        <f>COUNTIFS('Price list'!$D$5:$D$128,"&lt;&gt;Steelbook",'Price list'!$I$5:$I$128,"&gt;=0",'Price list'!$I$5:$I$128,"&lt;10")</f>
        <v/>
      </c>
    </row>
    <row r="13">
      <c r="A13" t="inlineStr">
        <is>
          <t>$10 to $14</t>
        </is>
      </c>
      <c r="B13">
        <f>COUNTIFS('Price list'!$D$5:$D$128,"&lt;&gt;Steelbook",'Price list'!$H$5:$H$128,"&gt;=10",'Price list'!$H$5:$H$128,"&lt;15")</f>
        <v/>
      </c>
      <c r="C13">
        <f>COUNTIFS('Price list'!$D$5:$D$128,"&lt;&gt;Steelbook",'Price list'!$I$5:$I$128,"&gt;=10",'Price list'!$I$5:$I$128,"&lt;15")</f>
        <v/>
      </c>
    </row>
    <row r="14">
      <c r="A14" t="inlineStr">
        <is>
          <t>$15 to $19</t>
        </is>
      </c>
      <c r="B14">
        <f>COUNTIFS('Price list'!$D$5:$D$128,"&lt;&gt;Steelbook",'Price list'!$H$5:$H$128,"&gt;=15",'Price list'!$H$5:$H$128,"&lt;20")</f>
        <v/>
      </c>
      <c r="C14">
        <f>COUNTIFS('Price list'!$D$5:$D$128,"&lt;&gt;Steelbook",'Price list'!$I$5:$I$128,"&gt;=15",'Price list'!$I$5:$I$128,"&lt;20")</f>
        <v/>
      </c>
    </row>
    <row r="15">
      <c r="A15" t="inlineStr">
        <is>
          <t>$20 and over</t>
        </is>
      </c>
      <c r="B15">
        <f>COUNTIFS('Price list'!$D$5:$D$128,"&lt;&gt;Steelbook",'Price list'!$H$5:$H$128,"&gt;=20",'Price list'!$H$5:$H$128,"&lt;1000000")</f>
        <v/>
      </c>
      <c r="C15">
        <f>COUNTIFS('Price list'!$D$5:$D$128,"&lt;&gt;Steelbook",'Price list'!$I$5:$I$128,"&gt;=20",'Price list'!$I$5:$I$128,"&lt;1000000")</f>
        <v/>
      </c>
    </row>
    <row r="17">
      <c r="A17" s="18" t="inlineStr">
        <is>
          <t>Market reference (Game Bros LB, Sep 2026)</t>
        </is>
      </c>
    </row>
    <row r="18">
      <c r="A18" t="inlineStr">
        <is>
          <t>Used PS4 games, typical (median)</t>
        </is>
      </c>
      <c r="B18" s="17" t="n">
        <v>15</v>
      </c>
    </row>
    <row r="19">
      <c r="A19" t="inlineStr">
        <is>
          <t>Used PS4 games, average (excluding collector editions)</t>
        </is>
      </c>
      <c r="B19" s="17" t="n">
        <v>19</v>
      </c>
    </row>
    <row r="20">
      <c r="A20" t="inlineStr">
        <is>
          <t>Used PS5 games, typical (median)</t>
        </is>
      </c>
      <c r="B20" s="17" t="n">
        <v>25</v>
      </c>
    </row>
    <row r="21">
      <c r="A21" t="inlineStr">
        <is>
          <t>Used PS5 games, average</t>
        </is>
      </c>
      <c r="B21" s="17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How the prices were set</t>
        </is>
      </c>
    </row>
    <row r="3" ht="34" customHeight="1">
      <c r="A3" s="19" t="inlineStr">
        <is>
          <t>Popular titles</t>
        </is>
      </c>
      <c r="B3" s="20" t="inlineStr">
        <is>
          <t>Set to the market range of $14 to $22 depending on demand (for example Red Dead Redemption II $20, The Last of Us Remastered $18, Uncharted 4 $18).</t>
        </is>
      </c>
    </row>
    <row r="4" ht="34" customHeight="1">
      <c r="A4" s="19" t="inlineStr">
        <is>
          <t>Ordinary titles</t>
        </is>
      </c>
      <c r="B4" s="20" t="inlineStr">
        <is>
          <t>Raised to a floor of $12. The cheapest ordinary used PS4 games at a local competitor are $13 to $15.</t>
        </is>
      </c>
    </row>
    <row r="5" ht="34" customHeight="1">
      <c r="A5" s="19" t="inlineStr">
        <is>
          <t>Older, annual or low-demand titles</t>
        </is>
      </c>
      <c r="B5" s="20" t="inlineStr">
        <is>
          <t>Allowed below the floor: annual sports and dance games $6 to $8, older shooters and licensed games $8 to $10.</t>
        </is>
      </c>
    </row>
    <row r="6" ht="34" customHeight="1">
      <c r="A6" s="19" t="inlineStr">
        <is>
          <t>Steelbook editions</t>
        </is>
      </c>
      <c r="B6" s="20" t="inlineStr">
        <is>
          <t>Unchanged. They are collectibles and were priced individually.</t>
        </is>
      </c>
    </row>
    <row r="7" ht="34" customHeight="1">
      <c r="A7" s="19" t="inlineStr">
        <is>
          <t>New arrivals</t>
        </is>
      </c>
      <c r="B7" s="20" t="inlineStr">
        <is>
          <t>The eight games added on 19 Sep 2026 follow the same rules.</t>
        </is>
      </c>
    </row>
    <row r="8" ht="34" customHeight="1">
      <c r="A8" s="19" t="inlineStr">
        <is>
          <t>Nothing was lowered</t>
        </is>
      </c>
      <c r="B8" s="20" t="inlineStr">
        <is>
          <t>Every change on the Price list is an increase. The Previous price column lets you reverse any of them.</t>
        </is>
      </c>
    </row>
    <row r="9" ht="34" customHeight="1">
      <c r="A9" s="19" t="inlineStr">
        <is>
          <t>Changing a price</t>
        </is>
      </c>
      <c r="B9" s="20" t="inlineStr">
        <is>
          <t>Admin &gt; Products &gt; edit the product &gt; price. The website updates immediately.</t>
        </is>
      </c>
    </row>
    <row r="10" ht="34" customHeight="1">
      <c r="A10" s="19" t="inlineStr">
        <is>
          <t>Delivery</t>
        </is>
      </c>
      <c r="B10" s="20" t="inlineStr">
        <is>
          <t>Buyers also pay delivery: $5 in Beirut and surroundings, $6 elsewhere with prepayment. A $12 game costs $17 delivered in Beirut.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2026-09-19T18:57:23Z</dcterms:created>
  <dcterms:modified xmlns:dcterms="http://purl.org/dc/terms/" xmlns:xsi="http://www.w3.org/2001/XMLSchema-instance" xsi:type="dcterms:W3CDTF">2026-09-19T18:57:23Z</dcterms:modified>
</cp:coreProperties>
</file>